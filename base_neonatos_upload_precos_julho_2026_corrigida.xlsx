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4d770f025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Upload" sheetId="1" r:id="Rf8480542c61945e2"/>
    <x:sheet xmlns:r="http://schemas.openxmlformats.org/officeDocument/2006/relationships" name="Produtos_Cadastro" sheetId="2" r:id="Rb37c8fa5a91d4700"/>
    <x:sheet xmlns:r="http://schemas.openxmlformats.org/officeDocument/2006/relationships" name="Promocoes" sheetId="3" r:id="R169e66e8768c4550"/>
    <x:sheet xmlns:r="http://schemas.openxmlformats.org/officeDocument/2006/relationships" name="Regras_Comerciais" sheetId="4" r:id="R5c86b3f8a24c4457"/>
    <x:sheet xmlns:r="http://schemas.openxmlformats.org/officeDocument/2006/relationships" name="Dicionarios" sheetId="5" r:id="R002c825d35c54868"/>
    <x:sheet xmlns:r="http://schemas.openxmlformats.org/officeDocument/2006/relationships" name="Painel_Conferencia" sheetId="6" r:id="R95cc383e930b4000"/>
    <x:sheet xmlns:r="http://schemas.openxmlformats.org/officeDocument/2006/relationships" name="00_Instrucoes" sheetId="7" r:id="Ree9c9c834fd4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94D0"/>
      </x:patternFill>
    </x:fill>
    <x:fill>
      <x:patternFill patternType="solid">
        <x:fgColor rgb="FF12327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">
    <x:dxf>
      <x:font>
        <x:color rgb="FF92400E"/>
      </x:font>
      <x:fill>
        <x:patternFill>
          <x:bgColor rgb="FFFEF3C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b8c06925d4201" /><Relationship Type="http://schemas.openxmlformats.org/officeDocument/2006/relationships/theme" Target="/xl/theme/theme1.xml" Id="R2e621294cefb4751" /><Relationship Type="http://schemas.openxmlformats.org/officeDocument/2006/relationships/sharedStrings" Target="/xl/sharedStrings.xml" Id="Rf172bd17993a4eb7" /><Relationship Type="http://schemas.openxmlformats.org/officeDocument/2006/relationships/worksheet" Target="/xl/worksheets/sheet1.xml" Id="Rf8480542c61945e2" /><Relationship Type="http://schemas.openxmlformats.org/officeDocument/2006/relationships/worksheet" Target="/xl/worksheets/sheet2.xml" Id="Rb37c8fa5a91d4700" /><Relationship Type="http://schemas.openxmlformats.org/officeDocument/2006/relationships/worksheet" Target="/xl/worksheets/sheet3.xml" Id="R169e66e8768c4550" /><Relationship Type="http://schemas.openxmlformats.org/officeDocument/2006/relationships/worksheet" Target="/xl/worksheets/sheet4.xml" Id="R5c86b3f8a24c4457" /><Relationship Type="http://schemas.openxmlformats.org/officeDocument/2006/relationships/worksheet" Target="/xl/worksheets/sheet5.xml" Id="R002c825d35c54868" /><Relationship Type="http://schemas.openxmlformats.org/officeDocument/2006/relationships/worksheet" Target="/xl/worksheets/sheet6.xml" Id="R95cc383e930b4000" /><Relationship Type="http://schemas.openxmlformats.org/officeDocument/2006/relationships/worksheet" Target="/xl/worksheets/sheet7.xml" Id="Ree9c9c834fd448a2" /></Relationships>
</file>

<file path=xl/tables/table1.xml><?xml version="1.0" encoding="utf-8"?>
<x:table xmlns:x="http://schemas.openxmlformats.org/spreadsheetml/2006/main" id="1" name="tblBaseUpload" displayName="tblBaseUpload" ref="A1:AI47" headerRowCount="1">
  <x:tableColumns count="35">
    <x:tableColumn id="1" name="ID_Linha"/>
    <x:tableColumn id="2" name="Status"/>
    <x:tableColumn id="3" name="Mes_Lista"/>
    <x:tableColumn id="4" name="Vigencia_Inicio"/>
    <x:tableColumn id="5" name="Validade_Ate"/>
    <x:tableColumn id="6" name="Pasta"/>
    <x:tableColumn id="7" name="Subpasta"/>
    <x:tableColumn id="8" name="Perfil_Cliente"/>
    <x:tableColumn id="9" name="Canal"/>
    <x:tableColumn id="10" name="Codigo"/>
    <x:tableColumn id="11" name="Produto"/>
    <x:tableColumn id="12" name="Apresentacao"/>
    <x:tableColumn id="13" name="Tipo_Item"/>
    <x:tableColumn id="14" name="Unidade_Venda"/>
    <x:tableColumn id="15" name="Qtd_Min"/>
    <x:tableColumn id="16" name="Qtd_Max"/>
    <x:tableColumn id="17" name="Faixa_Texto"/>
    <x:tableColumn id="18" name="Preco_Sistema"/>
    <x:tableColumn id="19" name="IPI_%"/>
    <x:tableColumn id="20" name="Preco_Final_Calc"/>
    <x:tableColumn id="21" name="Preco_Final_Informado"/>
    <x:tableColumn id="22" name="Divergencia_Final"/>
    <x:tableColumn id="23" name="Preco_Promocional"/>
    <x:tableColumn id="24" name="Preco_Publicado"/>
    <x:tableColumn id="25" name="Multiplo_Venda"/>
    <x:tableColumn id="26" name="Pedido_Minimo"/>
    <x:tableColumn id="27" name="Condicao_Pagamento"/>
    <x:tableColumn id="28" name="Observacoes_Publicas"/>
    <x:tableColumn id="29" name="Observacoes_Internas"/>
    <x:tableColumn id="30" name="Fonte_PDF"/>
    <x:tableColumn id="31" name="Pagina_Fonte"/>
    <x:tableColumn id="32" name="Ultima_Atualizacao"/>
    <x:tableColumn id="33" name="Responsavel"/>
    <x:tableColumn id="34" name="Chave_Deduplicacao"/>
    <x:tableColumn id="35" name="Mensagem_WhatsApp"/>
  </x:tableColumns>
  <x:tableStyleInfo name="TableStyleMedium2" showRowStripes="1"/>
</x:table>
</file>

<file path=xl/tables/table2.xml><?xml version="1.0" encoding="utf-8"?>
<x:table xmlns:x="http://schemas.openxmlformats.org/spreadsheetml/2006/main" id="2" name="tblProdutosCadastro" displayName="tblProdutosCadastro" ref="A1:H14" headerRowCount="1">
  <x:tableColumns count="8">
    <x:tableColumn id="1" name="Codigo"/>
    <x:tableColumn id="2" name="Produto"/>
    <x:tableColumn id="3" name="Apresentacao"/>
    <x:tableColumn id="4" name="Linhas_Atende"/>
    <x:tableColumn id="5" name="Tipo_Item"/>
    <x:tableColumn id="6" name="Unidade_Padrao"/>
    <x:tableColumn id="7" name="Ativo"/>
    <x:tableColumn id="8" name="Observacoes"/>
  </x:tableColumns>
  <x:tableStyleInfo name="TableStyleMedium2" showRowStripes="1"/>
</x:table>
</file>

<file path=xl/tables/table3.xml><?xml version="1.0" encoding="utf-8"?>
<x:table xmlns:x="http://schemas.openxmlformats.org/spreadsheetml/2006/main" id="3" name="tblPromocoes" displayName="tblPromocoes" ref="A1:P3" headerRowCount="1">
  <x:tableColumns count="16">
    <x:tableColumn id="1" name="Promo_ID"/>
    <x:tableColumn id="2" name="Status"/>
    <x:tableColumn id="3" name="Pasta"/>
    <x:tableColumn id="4" name="Subpasta"/>
    <x:tableColumn id="5" name="Perfil_Cliente"/>
    <x:tableColumn id="6" name="Codigo"/>
    <x:tableColumn id="7" name="Produto"/>
    <x:tableColumn id="8" name="Tipo_Preco_Afetado"/>
    <x:tableColumn id="9" name="Qtd_Min"/>
    <x:tableColumn id="10" name="Qtd_Max"/>
    <x:tableColumn id="11" name="Preco_Promocional"/>
    <x:tableColumn id="12" name="Data_Inicio"/>
    <x:tableColumn id="13" name="Data_Fim"/>
    <x:tableColumn id="14" name="Mensagem_Destaque"/>
    <x:tableColumn id="15" name="Observacoes"/>
    <x:tableColumn id="16" name="Responsavel"/>
  </x:tableColumns>
  <x:tableStyleInfo name="TableStyleMedium2" showRowStripes="1"/>
</x:table>
</file>

<file path=xl/tables/table4.xml><?xml version="1.0" encoding="utf-8"?>
<x:table xmlns:x="http://schemas.openxmlformats.org/spreadsheetml/2006/main" id="4" name="tblRegras" displayName="tblRegras" ref="A1:H11" headerRowCount="1">
  <x:tableColumns count="8">
    <x:tableColumn id="1" name="Regra_ID"/>
    <x:tableColumn id="2" name="Pasta"/>
    <x:tableColumn id="3" name="Subpasta"/>
    <x:tableColumn id="4" name="Aplica_A"/>
    <x:tableColumn id="5" name="Regra"/>
    <x:tableColumn id="6" name="Valor/Detalhe"/>
    <x:tableColumn id="7" name="Fonte_PDF"/>
    <x:tableColumn id="8" name="Pagin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f261be405245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2a2e138aaa48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12de1d529c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d2b99e21b44ac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32" hidden="0" customWidth="1"/>
    <x:col min="9" max="9" width="18" hidden="0" customWidth="1"/>
    <x:col min="10" max="10" width="12" hidden="0" customWidth="1"/>
    <x:col min="11" max="11" width="36" hidden="0" customWidth="1"/>
    <x:col min="12" max="12" width="14" hidden="0" customWidth="1"/>
    <x:col min="13" max="13" width="14" hidden="0" customWidth="1"/>
    <x:col min="14" max="14" width="14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0" hidden="0" customWidth="1"/>
    <x:col min="20" max="20" width="16" hidden="0" customWidth="1"/>
    <x:col min="21" max="21" width="18" hidden="0" customWidth="1"/>
    <x:col min="22" max="22" width="16" hidden="0" customWidth="1"/>
    <x:col min="23" max="23" width="16" hidden="0" customWidth="1"/>
    <x:col min="24" max="24" width="16" hidden="0" customWidth="1"/>
    <x:col min="25" max="25" width="14" hidden="0" customWidth="1"/>
    <x:col min="26" max="26" width="14" hidden="0" customWidth="1"/>
    <x:col min="27" max="27" width="36" hidden="0" customWidth="1"/>
    <x:col min="28" max="28" width="48" hidden="0" customWidth="1"/>
    <x:col min="29" max="29" width="48" hidden="0" customWidth="1"/>
    <x:col min="30" max="30" width="34" hidden="0" customWidth="1"/>
    <x:col min="31" max="31" width="12" hidden="0" customWidth="1"/>
    <x:col min="32" max="32" width="18" hidden="0" customWidth="1"/>
    <x:col min="33" max="33" width="18" hidden="0" customWidth="1"/>
    <x:col min="34" max="34" width="42" hidden="0" customWidth="1"/>
    <x:col min="35" max="35" width="80" hidden="0" customWidth="1"/>
  </x:cols>
  <x:sheetData>
    <x:row r="1" ht="24" customHeight="1">
      <x:c r="A1" s="6" t="str">
        <x:v>ID_Linha</x:v>
      </x:c>
      <x:c r="B1" s="6" t="str">
        <x:v>Status</x:v>
      </x:c>
      <x:c r="C1" s="6" t="str">
        <x:v>Mes_Lista</x:v>
      </x:c>
      <x:c r="D1" s="6" t="str">
        <x:v>Vigencia_Inicio</x:v>
      </x:c>
      <x:c r="E1" s="6" t="str">
        <x:v>Validade_Ate</x:v>
      </x:c>
      <x:c r="F1" s="6" t="str">
        <x:v>Pasta</x:v>
      </x:c>
      <x:c r="G1" s="6" t="str">
        <x:v>Subpasta</x:v>
      </x:c>
      <x:c r="H1" s="6" t="str">
        <x:v>Perfil_Cliente</x:v>
      </x:c>
      <x:c r="I1" s="6" t="str">
        <x:v>Canal</x:v>
      </x:c>
      <x:c r="J1" s="6" t="str">
        <x:v>Codigo</x:v>
      </x:c>
      <x:c r="K1" s="6" t="str">
        <x:v>Produto</x:v>
      </x:c>
      <x:c r="L1" s="6" t="str">
        <x:v>Apresentacao</x:v>
      </x:c>
      <x:c r="M1" s="6" t="str">
        <x:v>Tipo_Item</x:v>
      </x:c>
      <x:c r="N1" s="6" t="str">
        <x:v>Unidade_Venda</x:v>
      </x:c>
      <x:c r="O1" s="6" t="str">
        <x:v>Qtd_Min</x:v>
      </x:c>
      <x:c r="P1" s="6" t="str">
        <x:v>Qtd_Max</x:v>
      </x:c>
      <x:c r="Q1" s="6" t="str">
        <x:v>Faixa_Texto</x:v>
      </x:c>
      <x:c r="R1" s="6" t="str">
        <x:v>Preco_Sistema</x:v>
      </x:c>
      <x:c r="S1" s="6" t="str">
        <x:v>IPI_%</x:v>
      </x:c>
      <x:c r="T1" s="6" t="str">
        <x:v>Preco_Final_Calc</x:v>
      </x:c>
      <x:c r="U1" s="6" t="str">
        <x:v>Preco_Final_Informado</x:v>
      </x:c>
      <x:c r="V1" s="6" t="str">
        <x:v>Divergencia_Final</x:v>
      </x:c>
      <x:c r="W1" s="6" t="str">
        <x:v>Preco_Promocional</x:v>
      </x:c>
      <x:c r="X1" s="6" t="str">
        <x:v>Preco_Publicado</x:v>
      </x:c>
      <x:c r="Y1" s="6" t="str">
        <x:v>Multiplo_Venda</x:v>
      </x:c>
      <x:c r="Z1" s="6" t="str">
        <x:v>Pedido_Minimo</x:v>
      </x:c>
      <x:c r="AA1" s="6" t="str">
        <x:v>Condicao_Pagamento</x:v>
      </x:c>
      <x:c r="AB1" s="6" t="str">
        <x:v>Observacoes_Publicas</x:v>
      </x:c>
      <x:c r="AC1" s="6" t="str">
        <x:v>Observacoes_Internas</x:v>
      </x:c>
      <x:c r="AD1" s="6" t="str">
        <x:v>Fonte_PDF</x:v>
      </x:c>
      <x:c r="AE1" s="6" t="str">
        <x:v>Pagina_Fonte</x:v>
      </x:c>
      <x:c r="AF1" s="6" t="str">
        <x:v>Ultima_Atualizacao</x:v>
      </x:c>
      <x:c r="AG1" s="6" t="str">
        <x:v>Responsavel</x:v>
      </x:c>
      <x:c r="AH1" s="6" t="str">
        <x:v>Chave_Deduplicacao</x:v>
      </x:c>
      <x:c r="AI1" s="6" t="str">
        <x:v>Mensagem_WhatsApp</x:v>
      </x:c>
    </x:row>
    <x:row r="2">
      <x:c r="A2" s="12" t="str">
        <x:v>NEO-0001</x:v>
      </x:c>
      <x:c r="B2" s="12" t="str">
        <x:v>Ativo</x:v>
      </x:c>
      <x:c r="C2" s="12" t="str">
        <x:v>Julho/2026</x:v>
      </x:c>
      <x:c r="D2" s="14" t="n">
        <x:v>46204</x:v>
      </x:c>
      <x:c r="E2" s="14" t="n">
        <x:v>46239</x:v>
      </x:c>
      <x:c r="F2" s="12" t="str">
        <x:v>Neonatos</x:v>
      </x:c>
      <x:c r="G2" s="12" t="str">
        <x:v>Leite</x:v>
      </x:c>
      <x:c r="H2" s="12" t="str">
        <x:v>Produtor</x:v>
      </x:c>
      <x:c r="I2" s="12" t="str">
        <x:v>Venda regular</x:v>
      </x:c>
      <x:c r="J2" s="12" t="str">
        <x:v>X0092</x:v>
      </x:c>
      <x:c r="K2" s="12" t="str">
        <x:v>Colostro Bovino em Pó</x:v>
      </x:c>
      <x:c r="L2" s="12" t="str">
        <x:v>470 g</x:v>
      </x:c>
      <x:c r="M2" s="12" t="str">
        <x:v>Produto</x:v>
      </x:c>
      <x:c r="N2" s="12" t="str">
        <x:v>pacote</x:v>
      </x:c>
      <x:c r="O2" s="12" t="n">
        <x:v>5</x:v>
      </x:c>
      <x:c r="P2" s="12" t="n">
        <x:v>15</x:v>
      </x:c>
      <x:c r="Q2" s="12" t="str">
        <x:v>5 a 15</x:v>
      </x:c>
      <x:c r="R2" s="16" t="n">
        <x:v>319</x:v>
      </x:c>
      <x:c r="S2" s="18" t="n">
        <x:v>0</x:v>
      </x:c>
      <x:c r="T2" s="16" t="n">
        <x:f>IF(R2="","",INT(R2*(1+IFERROR(S2,0))*100+0.5001)/100)</x:f>
        <x:v>319</x:v>
      </x:c>
      <x:c r="U2" s="16"/>
      <x:c r="V2" s="16" t="str">
        <x:f>IF(U2="","",U2-T2)</x:f>
      </x:c>
      <x:c r="W2" s="16"/>
      <x:c r="X2" s="16" t="n">
        <x:f>IF(W2&lt;&gt;"",W2,IF(U2&lt;&gt;"",U2,T2))</x:f>
        <x:v>319</x:v>
      </x:c>
      <x:c r="Y2" s="12"/>
      <x:c r="Z2" s="12"/>
      <x:c r="AA2" s="12" t="str">
        <x:v>Parcelamento em até 4x, com parcelas mínimas de R$ 500,00.</x:v>
      </x:c>
      <x:c r="AB2" s="12" t="str"/>
      <x:c r="AC2" s="12" t="str"/>
      <x:c r="AD2" s="12" t="str">
        <x:v>LP_Neonatos_Leite_07.2026.pdf</x:v>
      </x:c>
      <x:c r="AE2" s="12" t="str">
        <x:v>1</x:v>
      </x:c>
      <x:c r="AF2" s="14" t="n">
        <x:v>46211</x:v>
      </x:c>
      <x:c r="AG2" s="12" t="str"/>
      <x:c r="AH2" s="12" t="str">
        <x:f>F2&amp;"|"&amp;G2&amp;"|"&amp;H2&amp;"|"&amp;J2&amp;"|"&amp;Q2</x:f>
        <x:v>Neonatos|Leite|Produtor|X0092|5 a 15</x:v>
      </x:c>
      <x:c r="AI2" s="12" t="str">
        <x:f>K2&amp;IF(L2&lt;&gt;""," ("&amp;L2&amp;")","")&amp;" — "&amp;Q2&amp;": R$ "&amp;ROUND(X2,2)&amp;" | "&amp;H2&amp;" | válido até "&amp;DAY(E2)&amp;"/"&amp;MONTH(E2)&amp;"/"&amp;YEAR(E2)</x:f>
        <x:v>Colostro Bovino em Pó (470 g) — 5 a 15: R$ 319 | Produtor | válido até 5/8/2026</x:v>
      </x:c>
    </x:row>
    <x:row r="3">
      <x:c r="A3" s="12" t="str">
        <x:v>NEO-0002</x:v>
      </x:c>
      <x:c r="B3" s="12" t="str">
        <x:v>Ativo</x:v>
      </x:c>
      <x:c r="C3" s="12" t="str">
        <x:v>Julho/2026</x:v>
      </x:c>
      <x:c r="D3" s="14" t="n">
        <x:v>46204</x:v>
      </x:c>
      <x:c r="E3" s="14" t="n">
        <x:v>46239</x:v>
      </x:c>
      <x:c r="F3" s="12" t="str">
        <x:v>Neonatos</x:v>
      </x:c>
      <x:c r="G3" s="12" t="str">
        <x:v>Leite</x:v>
      </x:c>
      <x:c r="H3" s="12" t="str">
        <x:v>Produtor</x:v>
      </x:c>
      <x:c r="I3" s="12" t="str">
        <x:v>Venda regular</x:v>
      </x:c>
      <x:c r="J3" s="12" t="str">
        <x:v>X0092</x:v>
      </x:c>
      <x:c r="K3" s="12" t="str">
        <x:v>Colostro Bovino em Pó</x:v>
      </x:c>
      <x:c r="L3" s="12" t="str">
        <x:v>470 g</x:v>
      </x:c>
      <x:c r="M3" s="12" t="str">
        <x:v>Produto</x:v>
      </x:c>
      <x:c r="N3" s="12" t="str">
        <x:v>pacote</x:v>
      </x:c>
      <x:c r="O3" s="12" t="n">
        <x:v>20</x:v>
      </x:c>
      <x:c r="P3" s="12" t="n">
        <x:v>50</x:v>
      </x:c>
      <x:c r="Q3" s="12" t="str">
        <x:v>20 a 50</x:v>
      </x:c>
      <x:c r="R3" s="16" t="n">
        <x:v>309</x:v>
      </x:c>
      <x:c r="S3" s="18" t="n">
        <x:v>0</x:v>
      </x:c>
      <x:c r="T3" s="16" t="n">
        <x:f>IF(R3="","",INT(R3*(1+IFERROR(S3,0))*100+0.5001)/100)</x:f>
        <x:v>309</x:v>
      </x:c>
      <x:c r="U3" s="16"/>
      <x:c r="V3" s="16" t="str">
        <x:f>IF(U3="","",U3-T3)</x:f>
      </x:c>
      <x:c r="W3" s="16"/>
      <x:c r="X3" s="16" t="n">
        <x:f>IF(W3&lt;&gt;"",W3,IF(U3&lt;&gt;"",U3,T3))</x:f>
        <x:v>309</x:v>
      </x:c>
      <x:c r="Y3" s="12"/>
      <x:c r="Z3" s="12"/>
      <x:c r="AA3" s="12" t="str">
        <x:v>Parcelamento em até 4x, com parcelas mínimas de R$ 500,00.</x:v>
      </x:c>
      <x:c r="AB3" s="12" t="str"/>
      <x:c r="AC3" s="12" t="str"/>
      <x:c r="AD3" s="12" t="str">
        <x:v>LP_Neonatos_Leite_07.2026.pdf</x:v>
      </x:c>
      <x:c r="AE3" s="12" t="str">
        <x:v>1</x:v>
      </x:c>
      <x:c r="AF3" s="14" t="n">
        <x:v>46211</x:v>
      </x:c>
      <x:c r="AG3" s="12" t="str"/>
      <x:c r="AH3" s="12" t="str">
        <x:f>F3&amp;"|"&amp;G3&amp;"|"&amp;H3&amp;"|"&amp;J3&amp;"|"&amp;Q3</x:f>
        <x:v>Neonatos|Leite|Produtor|X0092|20 a 50</x:v>
      </x:c>
      <x:c r="AI3" s="12" t="str">
        <x:f>K3&amp;IF(L3&lt;&gt;""," ("&amp;L3&amp;")","")&amp;" — "&amp;Q3&amp;": R$ "&amp;ROUND(X3,2)&amp;" | "&amp;H3&amp;" | válido até "&amp;DAY(E3)&amp;"/"&amp;MONTH(E3)&amp;"/"&amp;YEAR(E3)</x:f>
        <x:v>Colostro Bovino em Pó (470 g) — 20 a 50: R$ 309 | Produtor | válido até 5/8/2026</x:v>
      </x:c>
    </x:row>
    <x:row r="4">
      <x:c r="A4" s="12" t="str">
        <x:v>NEO-0003</x:v>
      </x:c>
      <x:c r="B4" s="12" t="str">
        <x:v>Ativo</x:v>
      </x:c>
      <x:c r="C4" s="12" t="str">
        <x:v>Julho/2026</x:v>
      </x:c>
      <x:c r="D4" s="14" t="n">
        <x:v>46204</x:v>
      </x:c>
      <x:c r="E4" s="14" t="n">
        <x:v>46239</x:v>
      </x:c>
      <x:c r="F4" s="12" t="str">
        <x:v>Neonatos</x:v>
      </x:c>
      <x:c r="G4" s="12" t="str">
        <x:v>Leite</x:v>
      </x:c>
      <x:c r="H4" s="12" t="str">
        <x:v>Produtor</x:v>
      </x:c>
      <x:c r="I4" s="12" t="str">
        <x:v>Venda regular</x:v>
      </x:c>
      <x:c r="J4" s="12" t="str">
        <x:v>X0092</x:v>
      </x:c>
      <x:c r="K4" s="12" t="str">
        <x:v>Colostro Bovino em Pó</x:v>
      </x:c>
      <x:c r="L4" s="12" t="str">
        <x:v>470 g</x:v>
      </x:c>
      <x:c r="M4" s="12" t="str">
        <x:v>Produto</x:v>
      </x:c>
      <x:c r="N4" s="12" t="str">
        <x:v>pacote</x:v>
      </x:c>
      <x:c r="O4" s="12" t="n">
        <x:v>51</x:v>
      </x:c>
      <x:c r="P4" s="12"/>
      <x:c r="Q4" s="12" t="str">
        <x:v>&gt; 50</x:v>
      </x:c>
      <x:c r="R4" s="16" t="n">
        <x:v>299</x:v>
      </x:c>
      <x:c r="S4" s="18" t="n">
        <x:v>0</x:v>
      </x:c>
      <x:c r="T4" s="16" t="n">
        <x:f>IF(R4="","",INT(R4*(1+IFERROR(S4,0))*100+0.5001)/100)</x:f>
        <x:v>299</x:v>
      </x:c>
      <x:c r="U4" s="16"/>
      <x:c r="V4" s="16" t="str">
        <x:f>IF(U4="","",U4-T4)</x:f>
      </x:c>
      <x:c r="W4" s="16"/>
      <x:c r="X4" s="16" t="n">
        <x:f>IF(W4&lt;&gt;"",W4,IF(U4&lt;&gt;"",U4,T4))</x:f>
        <x:v>299</x:v>
      </x:c>
      <x:c r="Y4" s="12"/>
      <x:c r="Z4" s="12"/>
      <x:c r="AA4" s="12" t="str">
        <x:v>Parcelamento em até 4x, com parcelas mínimas de R$ 500,00.</x:v>
      </x:c>
      <x:c r="AB4" s="12" t="str"/>
      <x:c r="AC4" s="12" t="str"/>
      <x:c r="AD4" s="12" t="str">
        <x:v>LP_Neonatos_Leite_07.2026.pdf</x:v>
      </x:c>
      <x:c r="AE4" s="12" t="str">
        <x:v>1</x:v>
      </x:c>
      <x:c r="AF4" s="14" t="n">
        <x:v>46211</x:v>
      </x:c>
      <x:c r="AG4" s="12" t="str"/>
      <x:c r="AH4" s="12" t="str">
        <x:f>F4&amp;"|"&amp;G4&amp;"|"&amp;H4&amp;"|"&amp;J4&amp;"|"&amp;Q4</x:f>
        <x:v>Neonatos|Leite|Produtor|X0092|&gt; 50</x:v>
      </x:c>
      <x:c r="AI4" s="12" t="str">
        <x:f>K4&amp;IF(L4&lt;&gt;""," ("&amp;L4&amp;")","")&amp;" — "&amp;Q4&amp;": R$ "&amp;ROUND(X4,2)&amp;" | "&amp;H4&amp;" | válido até "&amp;DAY(E4)&amp;"/"&amp;MONTH(E4)&amp;"/"&amp;YEAR(E4)</x:f>
        <x:v>Colostro Bovino em Pó (470 g) — &gt; 50: R$ 299 | Produtor | válido até 5/8/2026</x:v>
      </x:c>
    </x:row>
    <x:row r="5">
      <x:c r="A5" s="12" t="str">
        <x:v>NEO-0004</x:v>
      </x:c>
      <x:c r="B5" s="12" t="str">
        <x:v>Ativo</x:v>
      </x:c>
      <x:c r="C5" s="12" t="str">
        <x:v>Julho/2026</x:v>
      </x:c>
      <x:c r="D5" s="14" t="n">
        <x:v>46204</x:v>
      </x:c>
      <x:c r="E5" s="14" t="n">
        <x:v>46239</x:v>
      </x:c>
      <x:c r="F5" s="12" t="str">
        <x:v>Neonatos</x:v>
      </x:c>
      <x:c r="G5" s="12" t="str">
        <x:v>Leite</x:v>
      </x:c>
      <x:c r="H5" s="12" t="str">
        <x:v>Produtor</x:v>
      </x:c>
      <x:c r="I5" s="12" t="str">
        <x:v>Venda regular</x:v>
      </x:c>
      <x:c r="J5" s="12" t="str">
        <x:v>744637</x:v>
      </x:c>
      <x:c r="K5" s="12" t="str">
        <x:v>AltaLYTE</x:v>
      </x:c>
      <x:c r="L5" s="12" t="str">
        <x:v>875 g</x:v>
      </x:c>
      <x:c r="M5" s="12" t="str">
        <x:v>Produto</x:v>
      </x:c>
      <x:c r="N5" s="12" t="str">
        <x:v>pacote</x:v>
      </x:c>
      <x:c r="O5" s="12" t="n">
        <x:v>5</x:v>
      </x:c>
      <x:c r="P5" s="12" t="n">
        <x:v>20</x:v>
      </x:c>
      <x:c r="Q5" s="12" t="str">
        <x:v>5 a 20</x:v>
      </x:c>
      <x:c r="R5" s="16" t="n">
        <x:v>69</x:v>
      </x:c>
      <x:c r="S5" s="18" t="n">
        <x:v>0</x:v>
      </x:c>
      <x:c r="T5" s="16" t="n">
        <x:f>IF(R5="","",INT(R5*(1+IFERROR(S5,0))*100+0.5001)/100)</x:f>
        <x:v>69</x:v>
      </x:c>
      <x:c r="U5" s="16"/>
      <x:c r="V5" s="16" t="str">
        <x:f>IF(U5="","",U5-T5)</x:f>
      </x:c>
      <x:c r="W5" s="16"/>
      <x:c r="X5" s="16" t="n">
        <x:f>IF(W5&lt;&gt;"",W5,IF(U5&lt;&gt;"",U5,T5))</x:f>
        <x:v>69</x:v>
      </x:c>
      <x:c r="Y5" s="12"/>
      <x:c r="Z5" s="12"/>
      <x:c r="AA5" s="12" t="str">
        <x:v>Parcelamento em até 4x, com parcelas mínimas de R$ 500,00.</x:v>
      </x:c>
      <x:c r="AB5" s="12" t="str"/>
      <x:c r="AC5" s="12" t="str"/>
      <x:c r="AD5" s="12" t="str">
        <x:v>LP_Neonatos_Leite_07.2026.pdf</x:v>
      </x:c>
      <x:c r="AE5" s="12" t="str">
        <x:v>1</x:v>
      </x:c>
      <x:c r="AF5" s="14" t="n">
        <x:v>46211</x:v>
      </x:c>
      <x:c r="AG5" s="12" t="str"/>
      <x:c r="AH5" s="12" t="str">
        <x:f>F5&amp;"|"&amp;G5&amp;"|"&amp;H5&amp;"|"&amp;J5&amp;"|"&amp;Q5</x:f>
        <x:v>Neonatos|Leite|Produtor|744637|5 a 20</x:v>
      </x:c>
      <x:c r="AI5" s="12" t="str">
        <x:f>K5&amp;IF(L5&lt;&gt;""," ("&amp;L5&amp;")","")&amp;" — "&amp;Q5&amp;": R$ "&amp;ROUND(X5,2)&amp;" | "&amp;H5&amp;" | válido até "&amp;DAY(E5)&amp;"/"&amp;MONTH(E5)&amp;"/"&amp;YEAR(E5)</x:f>
        <x:v>AltaLYTE (875 g) — 5 a 20: R$ 69 | Produtor | válido até 5/8/2026</x:v>
      </x:c>
    </x:row>
    <x:row r="6">
      <x:c r="A6" s="12" t="str">
        <x:v>NEO-0005</x:v>
      </x:c>
      <x:c r="B6" s="12" t="str">
        <x:v>Ativo</x:v>
      </x:c>
      <x:c r="C6" s="12" t="str">
        <x:v>Julho/2026</x:v>
      </x:c>
      <x:c r="D6" s="14" t="n">
        <x:v>46204</x:v>
      </x:c>
      <x:c r="E6" s="14" t="n">
        <x:v>46239</x:v>
      </x:c>
      <x:c r="F6" s="12" t="str">
        <x:v>Neonatos</x:v>
      </x:c>
      <x:c r="G6" s="12" t="str">
        <x:v>Leite</x:v>
      </x:c>
      <x:c r="H6" s="12" t="str">
        <x:v>Produtor</x:v>
      </x:c>
      <x:c r="I6" s="12" t="str">
        <x:v>Venda regular</x:v>
      </x:c>
      <x:c r="J6" s="12" t="str">
        <x:v>744637</x:v>
      </x:c>
      <x:c r="K6" s="12" t="str">
        <x:v>AltaLYTE</x:v>
      </x:c>
      <x:c r="L6" s="12" t="str">
        <x:v>875 g</x:v>
      </x:c>
      <x:c r="M6" s="12" t="str">
        <x:v>Produto</x:v>
      </x:c>
      <x:c r="N6" s="12" t="str">
        <x:v>pacote</x:v>
      </x:c>
      <x:c r="O6" s="12" t="n">
        <x:v>25</x:v>
      </x:c>
      <x:c r="P6" s="12" t="n">
        <x:v>50</x:v>
      </x:c>
      <x:c r="Q6" s="12" t="str">
        <x:v>25 a 50</x:v>
      </x:c>
      <x:c r="R6" s="16" t="n">
        <x:v>65</x:v>
      </x:c>
      <x:c r="S6" s="18" t="n">
        <x:v>0</x:v>
      </x:c>
      <x:c r="T6" s="16" t="n">
        <x:f>IF(R6="","",INT(R6*(1+IFERROR(S6,0))*100+0.5001)/100)</x:f>
        <x:v>65</x:v>
      </x:c>
      <x:c r="U6" s="16"/>
      <x:c r="V6" s="16" t="str">
        <x:f>IF(U6="","",U6-T6)</x:f>
      </x:c>
      <x:c r="W6" s="16"/>
      <x:c r="X6" s="16" t="n">
        <x:f>IF(W6&lt;&gt;"",W6,IF(U6&lt;&gt;"",U6,T6))</x:f>
        <x:v>65</x:v>
      </x:c>
      <x:c r="Y6" s="12"/>
      <x:c r="Z6" s="12"/>
      <x:c r="AA6" s="12" t="str">
        <x:v>Parcelamento em até 4x, com parcelas mínimas de R$ 500,00.</x:v>
      </x:c>
      <x:c r="AB6" s="12" t="str"/>
      <x:c r="AC6" s="12" t="str"/>
      <x:c r="AD6" s="12" t="str">
        <x:v>LP_Neonatos_Leite_07.2026.pdf</x:v>
      </x:c>
      <x:c r="AE6" s="12" t="str">
        <x:v>1</x:v>
      </x:c>
      <x:c r="AF6" s="14" t="n">
        <x:v>46211</x:v>
      </x:c>
      <x:c r="AG6" s="12" t="str"/>
      <x:c r="AH6" s="12" t="str">
        <x:f>F6&amp;"|"&amp;G6&amp;"|"&amp;H6&amp;"|"&amp;J6&amp;"|"&amp;Q6</x:f>
        <x:v>Neonatos|Leite|Produtor|744637|25 a 50</x:v>
      </x:c>
      <x:c r="AI6" s="12" t="str">
        <x:f>K6&amp;IF(L6&lt;&gt;""," ("&amp;L6&amp;")","")&amp;" — "&amp;Q6&amp;": R$ "&amp;ROUND(X6,2)&amp;" | "&amp;H6&amp;" | válido até "&amp;DAY(E6)&amp;"/"&amp;MONTH(E6)&amp;"/"&amp;YEAR(E6)</x:f>
        <x:v>AltaLYTE (875 g) — 25 a 50: R$ 65 | Produtor | válido até 5/8/2026</x:v>
      </x:c>
    </x:row>
    <x:row r="7">
      <x:c r="A7" s="12" t="str">
        <x:v>NEO-0006</x:v>
      </x:c>
      <x:c r="B7" s="12" t="str">
        <x:v>Ativo</x:v>
      </x:c>
      <x:c r="C7" s="12" t="str">
        <x:v>Julho/2026</x:v>
      </x:c>
      <x:c r="D7" s="14" t="n">
        <x:v>46204</x:v>
      </x:c>
      <x:c r="E7" s="14" t="n">
        <x:v>46239</x:v>
      </x:c>
      <x:c r="F7" s="12" t="str">
        <x:v>Neonatos</x:v>
      </x:c>
      <x:c r="G7" s="12" t="str">
        <x:v>Leite</x:v>
      </x:c>
      <x:c r="H7" s="12" t="str">
        <x:v>Produtor</x:v>
      </x:c>
      <x:c r="I7" s="12" t="str">
        <x:v>Venda regular</x:v>
      </x:c>
      <x:c r="J7" s="12" t="str">
        <x:v>744637</x:v>
      </x:c>
      <x:c r="K7" s="12" t="str">
        <x:v>AltaLYTE</x:v>
      </x:c>
      <x:c r="L7" s="12" t="str">
        <x:v>875 g</x:v>
      </x:c>
      <x:c r="M7" s="12" t="str">
        <x:v>Produto</x:v>
      </x:c>
      <x:c r="N7" s="12" t="str">
        <x:v>pacote</x:v>
      </x:c>
      <x:c r="O7" s="12" t="n">
        <x:v>51</x:v>
      </x:c>
      <x:c r="P7" s="12"/>
      <x:c r="Q7" s="12" t="str">
        <x:v>&gt; 50</x:v>
      </x:c>
      <x:c r="R7" s="16" t="n">
        <x:v>63</x:v>
      </x:c>
      <x:c r="S7" s="18" t="n">
        <x:v>0</x:v>
      </x:c>
      <x:c r="T7" s="16" t="n">
        <x:f>IF(R7="","",INT(R7*(1+IFERROR(S7,0))*100+0.5001)/100)</x:f>
        <x:v>63</x:v>
      </x:c>
      <x:c r="U7" s="16"/>
      <x:c r="V7" s="16" t="str">
        <x:f>IF(U7="","",U7-T7)</x:f>
      </x:c>
      <x:c r="W7" s="16"/>
      <x:c r="X7" s="16" t="n">
        <x:f>IF(W7&lt;&gt;"",W7,IF(U7&lt;&gt;"",U7,T7))</x:f>
        <x:v>63</x:v>
      </x:c>
      <x:c r="Y7" s="12"/>
      <x:c r="Z7" s="12"/>
      <x:c r="AA7" s="12" t="str">
        <x:v>Parcelamento em até 4x, com parcelas mínimas de R$ 500,00.</x:v>
      </x:c>
      <x:c r="AB7" s="12" t="str"/>
      <x:c r="AC7" s="12" t="str"/>
      <x:c r="AD7" s="12" t="str">
        <x:v>LP_Neonatos_Leite_07.2026.pdf</x:v>
      </x:c>
      <x:c r="AE7" s="12" t="str">
        <x:v>1</x:v>
      </x:c>
      <x:c r="AF7" s="14" t="n">
        <x:v>46211</x:v>
      </x:c>
      <x:c r="AG7" s="12" t="str"/>
      <x:c r="AH7" s="12" t="str">
        <x:f>F7&amp;"|"&amp;G7&amp;"|"&amp;H7&amp;"|"&amp;J7&amp;"|"&amp;Q7</x:f>
        <x:v>Neonatos|Leite|Produtor|744637|&gt; 50</x:v>
      </x:c>
      <x:c r="AI7" s="12" t="str">
        <x:f>K7&amp;IF(L7&lt;&gt;""," ("&amp;L7&amp;")","")&amp;" — "&amp;Q7&amp;": R$ "&amp;ROUND(X7,2)&amp;" | "&amp;H7&amp;" | válido até "&amp;DAY(E7)&amp;"/"&amp;MONTH(E7)&amp;"/"&amp;YEAR(E7)</x:f>
        <x:v>AltaLYTE (875 g) — &gt; 50: R$ 63 | Produtor | válido até 5/8/2026</x:v>
      </x:c>
    </x:row>
    <x:row r="8">
      <x:c r="A8" s="12" t="str">
        <x:v>NEO-0007</x:v>
      </x:c>
      <x:c r="B8" s="12" t="str">
        <x:v>Ativo</x:v>
      </x:c>
      <x:c r="C8" s="12" t="str">
        <x:v>Julho/2026</x:v>
      </x:c>
      <x:c r="D8" s="14" t="n">
        <x:v>46204</x:v>
      </x:c>
      <x:c r="E8" s="14" t="n">
        <x:v>46239</x:v>
      </x:c>
      <x:c r="F8" s="12" t="str">
        <x:v>Neonatos</x:v>
      </x:c>
      <x:c r="G8" s="12" t="str">
        <x:v>Leite</x:v>
      </x:c>
      <x:c r="H8" s="12" t="str">
        <x:v>Produtor</x:v>
      </x:c>
      <x:c r="I8" s="12" t="str">
        <x:v>Venda regular</x:v>
      </x:c>
      <x:c r="J8" s="12" t="str">
        <x:v>X0168</x:v>
      </x:c>
      <x:c r="K8" s="12" t="str">
        <x:v>Balde de Colostro Bovino em Pó</x:v>
      </x:c>
      <x:c r="L8" s="12" t="str">
        <x:v>4,7 kg</x:v>
      </x:c>
      <x:c r="M8" s="12" t="str">
        <x:v>Produto</x:v>
      </x:c>
      <x:c r="N8" s="12" t="str">
        <x:v>unidade</x:v>
      </x:c>
      <x:c r="O8" s="12" t="n">
        <x:v>1</x:v>
      </x:c>
      <x:c r="P8" s="12" t="n">
        <x:v>2</x:v>
      </x:c>
      <x:c r="Q8" s="12" t="str">
        <x:v>1 a 2</x:v>
      </x:c>
      <x:c r="R8" s="16" t="n">
        <x:v>3084</x:v>
      </x:c>
      <x:c r="S8" s="18" t="n">
        <x:v>0</x:v>
      </x:c>
      <x:c r="T8" s="16" t="n">
        <x:f>IF(R8="","",INT(R8*(1+IFERROR(S8,0))*100+0.5001)/100)</x:f>
        <x:v>3084</x:v>
      </x:c>
      <x:c r="U8" s="16"/>
      <x:c r="V8" s="16" t="str">
        <x:f>IF(U8="","",U8-T8)</x:f>
      </x:c>
      <x:c r="W8" s="16"/>
      <x:c r="X8" s="16" t="n">
        <x:f>IF(W8&lt;&gt;"",W8,IF(U8&lt;&gt;"",U8,T8))</x:f>
        <x:v>3084</x:v>
      </x:c>
      <x:c r="Y8" s="12"/>
      <x:c r="Z8" s="12"/>
      <x:c r="AA8" s="12" t="str">
        <x:v>Parcelamento em até 4x, com parcelas mínimas de R$ 500,00.</x:v>
      </x:c>
      <x:c r="AB8" s="12" t="str"/>
      <x:c r="AC8" s="12" t="str"/>
      <x:c r="AD8" s="12" t="str">
        <x:v>LP_Neonatos_Leite_07.2026.pdf</x:v>
      </x:c>
      <x:c r="AE8" s="12" t="str">
        <x:v>1</x:v>
      </x:c>
      <x:c r="AF8" s="14" t="n">
        <x:v>46211</x:v>
      </x:c>
      <x:c r="AG8" s="12" t="str"/>
      <x:c r="AH8" s="12" t="str">
        <x:f>F8&amp;"|"&amp;G8&amp;"|"&amp;H8&amp;"|"&amp;J8&amp;"|"&amp;Q8</x:f>
        <x:v>Neonatos|Leite|Produtor|X0168|1 a 2</x:v>
      </x:c>
      <x:c r="AI8" s="12" t="str">
        <x:f>K8&amp;IF(L8&lt;&gt;""," ("&amp;L8&amp;")","")&amp;" — "&amp;Q8&amp;": R$ "&amp;ROUND(X8,2)&amp;" | "&amp;H8&amp;" | válido até "&amp;DAY(E8)&amp;"/"&amp;MONTH(E8)&amp;"/"&amp;YEAR(E8)</x:f>
        <x:v>Balde de Colostro Bovino em Pó (4,7 kg) — 1 a 2: R$ 3084 | Produtor | válido até 5/8/2026</x:v>
      </x:c>
    </x:row>
    <x:row r="9">
      <x:c r="A9" s="12" t="str">
        <x:v>NEO-0008</x:v>
      </x:c>
      <x:c r="B9" s="12" t="str">
        <x:v>Ativo</x:v>
      </x:c>
      <x:c r="C9" s="12" t="str">
        <x:v>Julho/2026</x:v>
      </x:c>
      <x:c r="D9" s="14" t="n">
        <x:v>46204</x:v>
      </x:c>
      <x:c r="E9" s="14" t="n">
        <x:v>46239</x:v>
      </x:c>
      <x:c r="F9" s="12" t="str">
        <x:v>Neonatos</x:v>
      </x:c>
      <x:c r="G9" s="12" t="str">
        <x:v>Leite</x:v>
      </x:c>
      <x:c r="H9" s="12" t="str">
        <x:v>Produtor</x:v>
      </x:c>
      <x:c r="I9" s="12" t="str">
        <x:v>Venda regular</x:v>
      </x:c>
      <x:c r="J9" s="12" t="str">
        <x:v>X0168</x:v>
      </x:c>
      <x:c r="K9" s="12" t="str">
        <x:v>Balde de Colostro Bovino em Pó</x:v>
      </x:c>
      <x:c r="L9" s="12" t="str">
        <x:v>4,7 kg</x:v>
      </x:c>
      <x:c r="M9" s="12" t="str">
        <x:v>Produto</x:v>
      </x:c>
      <x:c r="N9" s="12" t="str">
        <x:v>unidade</x:v>
      </x:c>
      <x:c r="O9" s="12" t="n">
        <x:v>3</x:v>
      </x:c>
      <x:c r="P9" s="12" t="n">
        <x:v>5</x:v>
      </x:c>
      <x:c r="Q9" s="12" t="str">
        <x:v>3 a 5</x:v>
      </x:c>
      <x:c r="R9" s="16" t="n">
        <x:v>2974</x:v>
      </x:c>
      <x:c r="S9" s="18" t="n">
        <x:v>0</x:v>
      </x:c>
      <x:c r="T9" s="16" t="n">
        <x:f>IF(R9="","",INT(R9*(1+IFERROR(S9,0))*100+0.5001)/100)</x:f>
        <x:v>2974</x:v>
      </x:c>
      <x:c r="U9" s="16"/>
      <x:c r="V9" s="16" t="str">
        <x:f>IF(U9="","",U9-T9)</x:f>
      </x:c>
      <x:c r="W9" s="16"/>
      <x:c r="X9" s="16" t="n">
        <x:f>IF(W9&lt;&gt;"",W9,IF(U9&lt;&gt;"",U9,T9))</x:f>
        <x:v>2974</x:v>
      </x:c>
      <x:c r="Y9" s="12"/>
      <x:c r="Z9" s="12"/>
      <x:c r="AA9" s="12" t="str">
        <x:v>Parcelamento em até 4x, com parcelas mínimas de R$ 500,00.</x:v>
      </x:c>
      <x:c r="AB9" s="12" t="str"/>
      <x:c r="AC9" s="12" t="str"/>
      <x:c r="AD9" s="12" t="str">
        <x:v>LP_Neonatos_Leite_07.2026.pdf</x:v>
      </x:c>
      <x:c r="AE9" s="12" t="str">
        <x:v>1</x:v>
      </x:c>
      <x:c r="AF9" s="14" t="n">
        <x:v>46211</x:v>
      </x:c>
      <x:c r="AG9" s="12" t="str"/>
      <x:c r="AH9" s="12" t="str">
        <x:f>F9&amp;"|"&amp;G9&amp;"|"&amp;H9&amp;"|"&amp;J9&amp;"|"&amp;Q9</x:f>
        <x:v>Neonatos|Leite|Produtor|X0168|3 a 5</x:v>
      </x:c>
      <x:c r="AI9" s="12" t="str">
        <x:f>K9&amp;IF(L9&lt;&gt;""," ("&amp;L9&amp;")","")&amp;" — "&amp;Q9&amp;": R$ "&amp;ROUND(X9,2)&amp;" | "&amp;H9&amp;" | válido até "&amp;DAY(E9)&amp;"/"&amp;MONTH(E9)&amp;"/"&amp;YEAR(E9)</x:f>
        <x:v>Balde de Colostro Bovino em Pó (4,7 kg) — 3 a 5: R$ 2974 | Produtor | válido até 5/8/2026</x:v>
      </x:c>
    </x:row>
    <x:row r="10">
      <x:c r="A10" s="12" t="str">
        <x:v>NEO-0009</x:v>
      </x:c>
      <x:c r="B10" s="12" t="str">
        <x:v>Ativo</x:v>
      </x:c>
      <x:c r="C10" s="12" t="str">
        <x:v>Julho/2026</x:v>
      </x:c>
      <x:c r="D10" s="14" t="n">
        <x:v>46204</x:v>
      </x:c>
      <x:c r="E10" s="14" t="n">
        <x:v>46239</x:v>
      </x:c>
      <x:c r="F10" s="12" t="str">
        <x:v>Neonatos</x:v>
      </x:c>
      <x:c r="G10" s="12" t="str">
        <x:v>Leite</x:v>
      </x:c>
      <x:c r="H10" s="12" t="str">
        <x:v>Produtor</x:v>
      </x:c>
      <x:c r="I10" s="12" t="str">
        <x:v>Venda regular</x:v>
      </x:c>
      <x:c r="J10" s="12" t="str">
        <x:v>X0168</x:v>
      </x:c>
      <x:c r="K10" s="12" t="str">
        <x:v>Balde de Colostro Bovino em Pó</x:v>
      </x:c>
      <x:c r="L10" s="12" t="str">
        <x:v>4,7 kg</x:v>
      </x:c>
      <x:c r="M10" s="12" t="str">
        <x:v>Produto</x:v>
      </x:c>
      <x:c r="N10" s="12" t="str">
        <x:v>unidade</x:v>
      </x:c>
      <x:c r="O10" s="12" t="n">
        <x:v>6</x:v>
      </x:c>
      <x:c r="P10" s="12"/>
      <x:c r="Q10" s="12" t="str">
        <x:v>&gt; 5</x:v>
      </x:c>
      <x:c r="R10" s="16" t="n">
        <x:v>2864</x:v>
      </x:c>
      <x:c r="S10" s="18" t="n">
        <x:v>0</x:v>
      </x:c>
      <x:c r="T10" s="16" t="n">
        <x:f>IF(R10="","",INT(R10*(1+IFERROR(S10,0))*100+0.5001)/100)</x:f>
        <x:v>2864</x:v>
      </x:c>
      <x:c r="U10" s="16"/>
      <x:c r="V10" s="16" t="str">
        <x:f>IF(U10="","",U10-T10)</x:f>
      </x:c>
      <x:c r="W10" s="16"/>
      <x:c r="X10" s="16" t="n">
        <x:f>IF(W10&lt;&gt;"",W10,IF(U10&lt;&gt;"",U10,T10))</x:f>
        <x:v>2864</x:v>
      </x:c>
      <x:c r="Y10" s="12"/>
      <x:c r="Z10" s="12"/>
      <x:c r="AA10" s="12" t="str">
        <x:v>Parcelamento em até 4x, com parcelas mínimas de R$ 500,00.</x:v>
      </x:c>
      <x:c r="AB10" s="12" t="str"/>
      <x:c r="AC10" s="12" t="str"/>
      <x:c r="AD10" s="12" t="str">
        <x:v>LP_Neonatos_Leite_07.2026.pdf</x:v>
      </x:c>
      <x:c r="AE10" s="12" t="str">
        <x:v>1</x:v>
      </x:c>
      <x:c r="AF10" s="14" t="n">
        <x:v>46211</x:v>
      </x:c>
      <x:c r="AG10" s="12" t="str"/>
      <x:c r="AH10" s="12" t="str">
        <x:f>F10&amp;"|"&amp;G10&amp;"|"&amp;H10&amp;"|"&amp;J10&amp;"|"&amp;Q10</x:f>
        <x:v>Neonatos|Leite|Produtor|X0168|&gt; 5</x:v>
      </x:c>
      <x:c r="AI10" s="12" t="str">
        <x:f>K10&amp;IF(L10&lt;&gt;""," ("&amp;L10&amp;")","")&amp;" — "&amp;Q10&amp;": R$ "&amp;ROUND(X10,2)&amp;" | "&amp;H10&amp;" | válido até "&amp;DAY(E10)&amp;"/"&amp;MONTH(E10)&amp;"/"&amp;YEAR(E10)</x:f>
        <x:v>Balde de Colostro Bovino em Pó (4,7 kg) — &gt; 5: R$ 2864 | Produtor | válido até 5/8/2026</x:v>
      </x:c>
    </x:row>
    <x:row r="11">
      <x:c r="A11" s="12" t="str">
        <x:v>NEO-0010</x:v>
      </x:c>
      <x:c r="B11" s="12" t="str">
        <x:v>Ativo</x:v>
      </x:c>
      <x:c r="C11" s="12" t="str">
        <x:v>Julho/2026</x:v>
      </x:c>
      <x:c r="D11" s="14" t="n">
        <x:v>46204</x:v>
      </x:c>
      <x:c r="E11" s="14" t="n">
        <x:v>46239</x:v>
      </x:c>
      <x:c r="F11" s="12" t="str">
        <x:v>Neonatos</x:v>
      </x:c>
      <x:c r="G11" s="12" t="str">
        <x:v>Leite</x:v>
      </x:c>
      <x:c r="H11" s="12" t="str">
        <x:v>Clientes especiais (Advantage/Alta CRIA)</x:v>
      </x:c>
      <x:c r="I11" s="12" t="str">
        <x:v>Clientes especiais</x:v>
      </x:c>
      <x:c r="J11" s="12" t="str">
        <x:v>X0092</x:v>
      </x:c>
      <x:c r="K11" s="12" t="str">
        <x:v>Colostro Bovino em Pó</x:v>
      </x:c>
      <x:c r="L11" s="12" t="str">
        <x:v>470 g</x:v>
      </x:c>
      <x:c r="M11" s="12" t="str">
        <x:v>Produto</x:v>
      </x:c>
      <x:c r="N11" s="12" t="str">
        <x:v>pacote</x:v>
      </x:c>
      <x:c r="O11" s="12" t="n">
        <x:v>5</x:v>
      </x:c>
      <x:c r="P11" s="12" t="n">
        <x:v>50</x:v>
      </x:c>
      <x:c r="Q11" s="12" t="str">
        <x:v>5 a 50</x:v>
      </x:c>
      <x:c r="R11" s="16" t="n">
        <x:v>260</x:v>
      </x:c>
      <x:c r="S11" s="18" t="n">
        <x:v>0</x:v>
      </x:c>
      <x:c r="T11" s="16" t="n">
        <x:f>IF(R11="","",INT(R11*(1+IFERROR(S11,0))*100+0.5001)/100)</x:f>
        <x:v>260</x:v>
      </x:c>
      <x:c r="U11" s="16"/>
      <x:c r="V11" s="16" t="str">
        <x:f>IF(U11="","",U11-T11)</x:f>
      </x:c>
      <x:c r="W11" s="16"/>
      <x:c r="X11" s="16" t="n">
        <x:f>IF(W11&lt;&gt;"",W11,IF(U11&lt;&gt;"",U11,T11))</x:f>
        <x:v>260</x:v>
      </x:c>
      <x:c r="Y11" s="12"/>
      <x:c r="Z11" s="12"/>
      <x:c r="AA11" s="12" t="str">
        <x:v>Parcelamento em até 4x, com parcelas mínimas de R$ 500,00.</x:v>
      </x:c>
      <x:c r="AB11" s="12" t="str">
        <x:v>Preço especial para clientes Advantage/Alta CRIA.</x:v>
      </x:c>
      <x:c r="AC11" s="12" t="str"/>
      <x:c r="AD11" s="12" t="str">
        <x:v>LP_Neonatos_Leite_07.2026.pdf</x:v>
      </x:c>
      <x:c r="AE11" s="12" t="str">
        <x:v>3</x:v>
      </x:c>
      <x:c r="AF11" s="14" t="n">
        <x:v>46211</x:v>
      </x:c>
      <x:c r="AG11" s="12" t="str"/>
      <x:c r="AH11" s="12" t="str">
        <x:f>F11&amp;"|"&amp;G11&amp;"|"&amp;H11&amp;"|"&amp;J11&amp;"|"&amp;Q11</x:f>
        <x:v>Neonatos|Leite|Clientes especiais (Advantage/Alta CRIA)|X0092|5 a 50</x:v>
      </x:c>
      <x:c r="AI11" s="12" t="str">
        <x:f>K11&amp;IF(L11&lt;&gt;""," ("&amp;L11&amp;")","")&amp;" — "&amp;Q11&amp;": R$ "&amp;ROUND(X11,2)&amp;" | "&amp;H11&amp;" | válido até "&amp;DAY(E11)&amp;"/"&amp;MONTH(E11)&amp;"/"&amp;YEAR(E11)</x:f>
        <x:v>Colostro Bovino em Pó (470 g) — 5 a 50: R$ 260 | Clientes especiais (Advantage/Alta CRIA) | válido até 5/8/2026</x:v>
      </x:c>
    </x:row>
    <x:row r="12">
      <x:c r="A12" s="12" t="str">
        <x:v>NEO-0011</x:v>
      </x:c>
      <x:c r="B12" s="12" t="str">
        <x:v>Ativo</x:v>
      </x:c>
      <x:c r="C12" s="12" t="str">
        <x:v>Julho/2026</x:v>
      </x:c>
      <x:c r="D12" s="14" t="n">
        <x:v>46204</x:v>
      </x:c>
      <x:c r="E12" s="14" t="n">
        <x:v>46239</x:v>
      </x:c>
      <x:c r="F12" s="12" t="str">
        <x:v>Neonatos</x:v>
      </x:c>
      <x:c r="G12" s="12" t="str">
        <x:v>Leite</x:v>
      </x:c>
      <x:c r="H12" s="12" t="str">
        <x:v>Clientes especiais (Advantage/Alta CRIA)</x:v>
      </x:c>
      <x:c r="I12" s="12" t="str">
        <x:v>Clientes especiais</x:v>
      </x:c>
      <x:c r="J12" s="12" t="str">
        <x:v>X0092</x:v>
      </x:c>
      <x:c r="K12" s="12" t="str">
        <x:v>Colostro Bovino em Pó</x:v>
      </x:c>
      <x:c r="L12" s="12" t="str">
        <x:v>470 g</x:v>
      </x:c>
      <x:c r="M12" s="12" t="str">
        <x:v>Produto</x:v>
      </x:c>
      <x:c r="N12" s="12" t="str">
        <x:v>pacote</x:v>
      </x:c>
      <x:c r="O12" s="12" t="n">
        <x:v>51</x:v>
      </x:c>
      <x:c r="P12" s="12"/>
      <x:c r="Q12" s="12" t="str">
        <x:v>&gt; 50</x:v>
      </x:c>
      <x:c r="R12" s="16" t="n">
        <x:v>254</x:v>
      </x:c>
      <x:c r="S12" s="18" t="n">
        <x:v>0</x:v>
      </x:c>
      <x:c r="T12" s="16" t="n">
        <x:f>IF(R12="","",INT(R12*(1+IFERROR(S12,0))*100+0.5001)/100)</x:f>
        <x:v>254</x:v>
      </x:c>
      <x:c r="U12" s="16"/>
      <x:c r="V12" s="16" t="str">
        <x:f>IF(U12="","",U12-T12)</x:f>
      </x:c>
      <x:c r="W12" s="16"/>
      <x:c r="X12" s="16" t="n">
        <x:f>IF(W12&lt;&gt;"",W12,IF(U12&lt;&gt;"",U12,T12))</x:f>
        <x:v>254</x:v>
      </x:c>
      <x:c r="Y12" s="12"/>
      <x:c r="Z12" s="12"/>
      <x:c r="AA12" s="12" t="str">
        <x:v>Parcelamento em até 4x, com parcelas mínimas de R$ 500,00.</x:v>
      </x:c>
      <x:c r="AB12" s="12" t="str">
        <x:v>Preço especial para clientes Advantage/Alta CRIA.</x:v>
      </x:c>
      <x:c r="AC12" s="12" t="str"/>
      <x:c r="AD12" s="12" t="str">
        <x:v>LP_Neonatos_Leite_07.2026.pdf</x:v>
      </x:c>
      <x:c r="AE12" s="12" t="str">
        <x:v>3</x:v>
      </x:c>
      <x:c r="AF12" s="14" t="n">
        <x:v>46211</x:v>
      </x:c>
      <x:c r="AG12" s="12" t="str"/>
      <x:c r="AH12" s="12" t="str">
        <x:f>F12&amp;"|"&amp;G12&amp;"|"&amp;H12&amp;"|"&amp;J12&amp;"|"&amp;Q12</x:f>
        <x:v>Neonatos|Leite|Clientes especiais (Advantage/Alta CRIA)|X0092|&gt; 50</x:v>
      </x:c>
      <x:c r="AI12" s="12" t="str">
        <x:f>K12&amp;IF(L12&lt;&gt;""," ("&amp;L12&amp;")","")&amp;" — "&amp;Q12&amp;": R$ "&amp;ROUND(X12,2)&amp;" | "&amp;H12&amp;" | válido até "&amp;DAY(E12)&amp;"/"&amp;MONTH(E12)&amp;"/"&amp;YEAR(E12)</x:f>
        <x:v>Colostro Bovino em Pó (470 g) — &gt; 50: R$ 254 | Clientes especiais (Advantage/Alta CRIA) | válido até 5/8/2026</x:v>
      </x:c>
    </x:row>
    <x:row r="13">
      <x:c r="A13" s="12" t="str">
        <x:v>NEO-0012</x:v>
      </x:c>
      <x:c r="B13" s="12" t="str">
        <x:v>Ativo</x:v>
      </x:c>
      <x:c r="C13" s="12" t="str">
        <x:v>Julho/2026</x:v>
      </x:c>
      <x:c r="D13" s="14" t="n">
        <x:v>46204</x:v>
      </x:c>
      <x:c r="E13" s="14" t="n">
        <x:v>46239</x:v>
      </x:c>
      <x:c r="F13" s="12" t="str">
        <x:v>Neonatos</x:v>
      </x:c>
      <x:c r="G13" s="12" t="str">
        <x:v>Leite</x:v>
      </x:c>
      <x:c r="H13" s="12" t="str">
        <x:v>Clientes especiais (Advantage/Alta CRIA)</x:v>
      </x:c>
      <x:c r="I13" s="12" t="str">
        <x:v>Clientes especiais</x:v>
      </x:c>
      <x:c r="J13" s="12" t="str">
        <x:v>744637</x:v>
      </x:c>
      <x:c r="K13" s="12" t="str">
        <x:v>AltaLYTE</x:v>
      </x:c>
      <x:c r="L13" s="12" t="str">
        <x:v>875 g</x:v>
      </x:c>
      <x:c r="M13" s="12" t="str">
        <x:v>Produto</x:v>
      </x:c>
      <x:c r="N13" s="12" t="str">
        <x:v>pacote</x:v>
      </x:c>
      <x:c r="O13" s="12" t="n">
        <x:v>5</x:v>
      </x:c>
      <x:c r="P13" s="12" t="n">
        <x:v>50</x:v>
      </x:c>
      <x:c r="Q13" s="12" t="str">
        <x:v>5 a 50</x:v>
      </x:c>
      <x:c r="R13" s="16" t="n">
        <x:v>60</x:v>
      </x:c>
      <x:c r="S13" s="18" t="n">
        <x:v>0</x:v>
      </x:c>
      <x:c r="T13" s="16" t="n">
        <x:f>IF(R13="","",INT(R13*(1+IFERROR(S13,0))*100+0.5001)/100)</x:f>
        <x:v>60</x:v>
      </x:c>
      <x:c r="U13" s="16"/>
      <x:c r="V13" s="16" t="str">
        <x:f>IF(U13="","",U13-T13)</x:f>
      </x:c>
      <x:c r="W13" s="16"/>
      <x:c r="X13" s="16" t="n">
        <x:f>IF(W13&lt;&gt;"",W13,IF(U13&lt;&gt;"",U13,T13))</x:f>
        <x:v>60</x:v>
      </x:c>
      <x:c r="Y13" s="12"/>
      <x:c r="Z13" s="12"/>
      <x:c r="AA13" s="12" t="str">
        <x:v>Parcelamento em até 4x, com parcelas mínimas de R$ 500,00.</x:v>
      </x:c>
      <x:c r="AB13" s="12" t="str">
        <x:v>Preço especial para clientes Advantage/Alta CRIA.</x:v>
      </x:c>
      <x:c r="AC13" s="12" t="str"/>
      <x:c r="AD13" s="12" t="str">
        <x:v>LP_Neonatos_Leite_07.2026.pdf</x:v>
      </x:c>
      <x:c r="AE13" s="12" t="str">
        <x:v>3</x:v>
      </x:c>
      <x:c r="AF13" s="14" t="n">
        <x:v>46211</x:v>
      </x:c>
      <x:c r="AG13" s="12" t="str"/>
      <x:c r="AH13" s="12" t="str">
        <x:f>F13&amp;"|"&amp;G13&amp;"|"&amp;H13&amp;"|"&amp;J13&amp;"|"&amp;Q13</x:f>
        <x:v>Neonatos|Leite|Clientes especiais (Advantage/Alta CRIA)|744637|5 a 50</x:v>
      </x:c>
      <x:c r="AI13" s="12" t="str">
        <x:f>K13&amp;IF(L13&lt;&gt;""," ("&amp;L13&amp;")","")&amp;" — "&amp;Q13&amp;": R$ "&amp;ROUND(X13,2)&amp;" | "&amp;H13&amp;" | válido até "&amp;DAY(E13)&amp;"/"&amp;MONTH(E13)&amp;"/"&amp;YEAR(E13)</x:f>
        <x:v>AltaLYTE (875 g) — 5 a 50: R$ 60 | Clientes especiais (Advantage/Alta CRIA) | válido até 5/8/2026</x:v>
      </x:c>
    </x:row>
    <x:row r="14">
      <x:c r="A14" s="12" t="str">
        <x:v>NEO-0013</x:v>
      </x:c>
      <x:c r="B14" s="12" t="str">
        <x:v>Ativo</x:v>
      </x:c>
      <x:c r="C14" s="12" t="str">
        <x:v>Julho/2026</x:v>
      </x:c>
      <x:c r="D14" s="14" t="n">
        <x:v>46204</x:v>
      </x:c>
      <x:c r="E14" s="14" t="n">
        <x:v>46239</x:v>
      </x:c>
      <x:c r="F14" s="12" t="str">
        <x:v>Neonatos</x:v>
      </x:c>
      <x:c r="G14" s="12" t="str">
        <x:v>Leite</x:v>
      </x:c>
      <x:c r="H14" s="12" t="str">
        <x:v>Clientes especiais (Advantage/Alta CRIA)</x:v>
      </x:c>
      <x:c r="I14" s="12" t="str">
        <x:v>Clientes especiais</x:v>
      </x:c>
      <x:c r="J14" s="12" t="str">
        <x:v>744637</x:v>
      </x:c>
      <x:c r="K14" s="12" t="str">
        <x:v>AltaLYTE</x:v>
      </x:c>
      <x:c r="L14" s="12" t="str">
        <x:v>875 g</x:v>
      </x:c>
      <x:c r="M14" s="12" t="str">
        <x:v>Produto</x:v>
      </x:c>
      <x:c r="N14" s="12" t="str">
        <x:v>pacote</x:v>
      </x:c>
      <x:c r="O14" s="12" t="n">
        <x:v>51</x:v>
      </x:c>
      <x:c r="P14" s="12"/>
      <x:c r="Q14" s="12" t="str">
        <x:v>&gt; 50</x:v>
      </x:c>
      <x:c r="R14" s="16" t="n">
        <x:v>58</x:v>
      </x:c>
      <x:c r="S14" s="18" t="n">
        <x:v>0</x:v>
      </x:c>
      <x:c r="T14" s="16" t="n">
        <x:f>IF(R14="","",INT(R14*(1+IFERROR(S14,0))*100+0.5001)/100)</x:f>
        <x:v>58</x:v>
      </x:c>
      <x:c r="U14" s="16"/>
      <x:c r="V14" s="16" t="str">
        <x:f>IF(U14="","",U14-T14)</x:f>
      </x:c>
      <x:c r="W14" s="16"/>
      <x:c r="X14" s="16" t="n">
        <x:f>IF(W14&lt;&gt;"",W14,IF(U14&lt;&gt;"",U14,T14))</x:f>
        <x:v>58</x:v>
      </x:c>
      <x:c r="Y14" s="12"/>
      <x:c r="Z14" s="12"/>
      <x:c r="AA14" s="12" t="str">
        <x:v>Parcelamento em até 4x, com parcelas mínimas de R$ 500,00.</x:v>
      </x:c>
      <x:c r="AB14" s="12" t="str">
        <x:v>Preço especial para clientes Advantage/Alta CRIA.</x:v>
      </x:c>
      <x:c r="AC14" s="12" t="str"/>
      <x:c r="AD14" s="12" t="str">
        <x:v>LP_Neonatos_Leite_07.2026.pdf</x:v>
      </x:c>
      <x:c r="AE14" s="12" t="str">
        <x:v>3</x:v>
      </x:c>
      <x:c r="AF14" s="14" t="n">
        <x:v>46211</x:v>
      </x:c>
      <x:c r="AG14" s="12" t="str"/>
      <x:c r="AH14" s="12" t="str">
        <x:f>F14&amp;"|"&amp;G14&amp;"|"&amp;H14&amp;"|"&amp;J14&amp;"|"&amp;Q14</x:f>
        <x:v>Neonatos|Leite|Clientes especiais (Advantage/Alta CRIA)|744637|&gt; 50</x:v>
      </x:c>
      <x:c r="AI14" s="12" t="str">
        <x:f>K14&amp;IF(L14&lt;&gt;""," ("&amp;L14&amp;")","")&amp;" — "&amp;Q14&amp;": R$ "&amp;ROUND(X14,2)&amp;" | "&amp;H14&amp;" | válido até "&amp;DAY(E14)&amp;"/"&amp;MONTH(E14)&amp;"/"&amp;YEAR(E14)</x:f>
        <x:v>AltaLYTE (875 g) — &gt; 50: R$ 58 | Clientes especiais (Advantage/Alta CRIA) | válido até 5/8/2026</x:v>
      </x:c>
    </x:row>
    <x:row r="15">
      <x:c r="A15" s="12" t="str">
        <x:v>NEO-0014</x:v>
      </x:c>
      <x:c r="B15" s="12" t="str">
        <x:v>Ativo</x:v>
      </x:c>
      <x:c r="C15" s="12" t="str">
        <x:v>Julho/2026</x:v>
      </x:c>
      <x:c r="D15" s="14" t="n">
        <x:v>46204</x:v>
      </x:c>
      <x:c r="E15" s="14" t="n">
        <x:v>46239</x:v>
      </x:c>
      <x:c r="F15" s="12" t="str">
        <x:v>Neonatos</x:v>
      </x:c>
      <x:c r="G15" s="12" t="str">
        <x:v>Leite</x:v>
      </x:c>
      <x:c r="H15" s="12" t="str">
        <x:v>Clientes especiais (Advantage/Alta CRIA)</x:v>
      </x:c>
      <x:c r="I15" s="12" t="str">
        <x:v>Clientes especiais</x:v>
      </x:c>
      <x:c r="J15" s="12" t="str">
        <x:v>X0168</x:v>
      </x:c>
      <x:c r="K15" s="12" t="str">
        <x:v>Balde de Colostro Bovino em Pó</x:v>
      </x:c>
      <x:c r="L15" s="12" t="str">
        <x:v>4,7 kg</x:v>
      </x:c>
      <x:c r="M15" s="12" t="str">
        <x:v>Produto</x:v>
      </x:c>
      <x:c r="N15" s="12" t="str">
        <x:v>unidade</x:v>
      </x:c>
      <x:c r="O15" s="12" t="n">
        <x:v>1</x:v>
      </x:c>
      <x:c r="P15" s="12" t="n">
        <x:v>5</x:v>
      </x:c>
      <x:c r="Q15" s="12" t="str">
        <x:v>1 a 5</x:v>
      </x:c>
      <x:c r="R15" s="16" t="n">
        <x:v>2490</x:v>
      </x:c>
      <x:c r="S15" s="18" t="n">
        <x:v>0</x:v>
      </x:c>
      <x:c r="T15" s="16" t="n">
        <x:f>IF(R15="","",INT(R15*(1+IFERROR(S15,0))*100+0.5001)/100)</x:f>
        <x:v>2490</x:v>
      </x:c>
      <x:c r="U15" s="16"/>
      <x:c r="V15" s="16" t="str">
        <x:f>IF(U15="","",U15-T15)</x:f>
      </x:c>
      <x:c r="W15" s="16"/>
      <x:c r="X15" s="16" t="n">
        <x:f>IF(W15&lt;&gt;"",W15,IF(U15&lt;&gt;"",U15,T15))</x:f>
        <x:v>2490</x:v>
      </x:c>
      <x:c r="Y15" s="12"/>
      <x:c r="Z15" s="12"/>
      <x:c r="AA15" s="12" t="str">
        <x:v>Parcelamento em até 4x, com parcelas mínimas de R$ 500,00.</x:v>
      </x:c>
      <x:c r="AB15" s="12" t="str">
        <x:v>Preço especial para clientes Advantage/Alta CRIA.</x:v>
      </x:c>
      <x:c r="AC15" s="12" t="str"/>
      <x:c r="AD15" s="12" t="str">
        <x:v>LP_Neonatos_Leite_07.2026.pdf</x:v>
      </x:c>
      <x:c r="AE15" s="12" t="str">
        <x:v>3</x:v>
      </x:c>
      <x:c r="AF15" s="14" t="n">
        <x:v>46211</x:v>
      </x:c>
      <x:c r="AG15" s="12" t="str"/>
      <x:c r="AH15" s="12" t="str">
        <x:f>F15&amp;"|"&amp;G15&amp;"|"&amp;H15&amp;"|"&amp;J15&amp;"|"&amp;Q15</x:f>
        <x:v>Neonatos|Leite|Clientes especiais (Advantage/Alta CRIA)|X0168|1 a 5</x:v>
      </x:c>
      <x:c r="AI15" s="12" t="str">
        <x:f>K15&amp;IF(L15&lt;&gt;""," ("&amp;L15&amp;")","")&amp;" — "&amp;Q15&amp;": R$ "&amp;ROUND(X15,2)&amp;" | "&amp;H15&amp;" | válido até "&amp;DAY(E15)&amp;"/"&amp;MONTH(E15)&amp;"/"&amp;YEAR(E15)</x:f>
        <x:v>Balde de Colostro Bovino em Pó (4,7 kg) — 1 a 5: R$ 2490 | Clientes especiais (Advantage/Alta CRIA) | válido até 5/8/2026</x:v>
      </x:c>
    </x:row>
    <x:row r="16">
      <x:c r="A16" s="12" t="str">
        <x:v>NEO-0015</x:v>
      </x:c>
      <x:c r="B16" s="12" t="str">
        <x:v>Ativo</x:v>
      </x:c>
      <x:c r="C16" s="12" t="str">
        <x:v>Julho/2026</x:v>
      </x:c>
      <x:c r="D16" s="14" t="n">
        <x:v>46204</x:v>
      </x:c>
      <x:c r="E16" s="14" t="n">
        <x:v>46239</x:v>
      </x:c>
      <x:c r="F16" s="12" t="str">
        <x:v>Neonatos</x:v>
      </x:c>
      <x:c r="G16" s="12" t="str">
        <x:v>Leite</x:v>
      </x:c>
      <x:c r="H16" s="12" t="str">
        <x:v>Clientes especiais (Advantage/Alta CRIA)</x:v>
      </x:c>
      <x:c r="I16" s="12" t="str">
        <x:v>Clientes especiais</x:v>
      </x:c>
      <x:c r="J16" s="12" t="str">
        <x:v>X0168</x:v>
      </x:c>
      <x:c r="K16" s="12" t="str">
        <x:v>Balde de Colostro Bovino em Pó</x:v>
      </x:c>
      <x:c r="L16" s="12" t="str">
        <x:v>4,7 kg</x:v>
      </x:c>
      <x:c r="M16" s="12" t="str">
        <x:v>Produto</x:v>
      </x:c>
      <x:c r="N16" s="12" t="str">
        <x:v>unidade</x:v>
      </x:c>
      <x:c r="O16" s="12" t="n">
        <x:v>6</x:v>
      </x:c>
      <x:c r="P16" s="12"/>
      <x:c r="Q16" s="12" t="str">
        <x:v>&gt; 5</x:v>
      </x:c>
      <x:c r="R16" s="16" t="n">
        <x:v>2440</x:v>
      </x:c>
      <x:c r="S16" s="18" t="n">
        <x:v>0</x:v>
      </x:c>
      <x:c r="T16" s="16" t="n">
        <x:f>IF(R16="","",INT(R16*(1+IFERROR(S16,0))*100+0.5001)/100)</x:f>
        <x:v>2440</x:v>
      </x:c>
      <x:c r="U16" s="16"/>
      <x:c r="V16" s="16" t="str">
        <x:f>IF(U16="","",U16-T16)</x:f>
      </x:c>
      <x:c r="W16" s="16"/>
      <x:c r="X16" s="16" t="n">
        <x:f>IF(W16&lt;&gt;"",W16,IF(U16&lt;&gt;"",U16,T16))</x:f>
        <x:v>2440</x:v>
      </x:c>
      <x:c r="Y16" s="12"/>
      <x:c r="Z16" s="12"/>
      <x:c r="AA16" s="12" t="str">
        <x:v>Parcelamento em até 4x, com parcelas mínimas de R$ 500,00.</x:v>
      </x:c>
      <x:c r="AB16" s="12" t="str">
        <x:v>Preço especial para clientes Advantage/Alta CRIA.</x:v>
      </x:c>
      <x:c r="AC16" s="12" t="str"/>
      <x:c r="AD16" s="12" t="str">
        <x:v>LP_Neonatos_Leite_07.2026.pdf</x:v>
      </x:c>
      <x:c r="AE16" s="12" t="str">
        <x:v>3</x:v>
      </x:c>
      <x:c r="AF16" s="14" t="n">
        <x:v>46211</x:v>
      </x:c>
      <x:c r="AG16" s="12" t="str"/>
      <x:c r="AH16" s="12" t="str">
        <x:f>F16&amp;"|"&amp;G16&amp;"|"&amp;H16&amp;"|"&amp;J16&amp;"|"&amp;Q16</x:f>
        <x:v>Neonatos|Leite|Clientes especiais (Advantage/Alta CRIA)|X0168|&gt; 5</x:v>
      </x:c>
      <x:c r="AI16" s="12" t="str">
        <x:f>K16&amp;IF(L16&lt;&gt;""," ("&amp;L16&amp;")","")&amp;" — "&amp;Q16&amp;": R$ "&amp;ROUND(X16,2)&amp;" | "&amp;H16&amp;" | válido até "&amp;DAY(E16)&amp;"/"&amp;MONTH(E16)&amp;"/"&amp;YEAR(E16)</x:f>
        <x:v>Balde de Colostro Bovino em Pó (4,7 kg) — &gt; 5: R$ 2440 | Clientes especiais (Advantage/Alta CRIA) | válido até 5/8/2026</x:v>
      </x:c>
    </x:row>
    <x:row r="17">
      <x:c r="A17" s="12" t="str">
        <x:v>NEO-0016</x:v>
      </x:c>
      <x:c r="B17" s="12" t="str">
        <x:v>Ativo</x:v>
      </x:c>
      <x:c r="C17" s="12" t="str">
        <x:v>Julho/2026</x:v>
      </x:c>
      <x:c r="D17" s="14" t="n">
        <x:v>46204</x:v>
      </x:c>
      <x:c r="E17" s="14" t="n">
        <x:v>46239</x:v>
      </x:c>
      <x:c r="F17" s="12" t="str">
        <x:v>Neonatos</x:v>
      </x:c>
      <x:c r="G17" s="12" t="str">
        <x:v>Leite</x:v>
      </x:c>
      <x:c r="H17" s="12" t="str">
        <x:v>Todos</x:v>
      </x:c>
      <x:c r="I17" s="12" t="str">
        <x:v>Acessórios</x:v>
      </x:c>
      <x:c r="J17" s="12" t="str">
        <x:v>701017</x:v>
      </x:c>
      <x:c r="K17" s="12" t="str">
        <x:v>Bico Excedente</x:v>
      </x:c>
      <x:c r="L17" s="12" t="str"/>
      <x:c r="M17" s="12" t="str">
        <x:v>Acessório</x:v>
      </x:c>
      <x:c r="N17" s="12" t="str">
        <x:v>unidade</x:v>
      </x:c>
      <x:c r="O17" s="12" t="n">
        <x:v>1</x:v>
      </x:c>
      <x:c r="P17" s="12"/>
      <x:c r="Q17" s="12" t="str">
        <x:v>unidade</x:v>
      </x:c>
      <x:c r="R17" s="16" t="n">
        <x:v>27</x:v>
      </x:c>
      <x:c r="S17" s="18" t="n">
        <x:v>0.0975</x:v>
      </x:c>
      <x:c r="T17" s="16" t="n">
        <x:f>IF(R17="","",INT(R17*(1+IFERROR(S17,0))*100+0.5001)/100)</x:f>
        <x:v>29.63</x:v>
      </x:c>
      <x:c r="U17" s="16" t="n">
        <x:v>29.63</x:v>
      </x:c>
      <x:c r="V17" s="16" t="n">
        <x:f>IF(U17="","",U17-T17)</x:f>
        <x:v>0</x:v>
      </x:c>
      <x:c r="W17" s="16"/>
      <x:c r="X17" s="16" t="n">
        <x:f>IF(W17&lt;&gt;"",W17,IF(U17&lt;&gt;"",U17,T17))</x:f>
        <x:v>29.63</x:v>
      </x:c>
      <x:c r="Y17" s="12"/>
      <x:c r="Z17" s="12"/>
      <x:c r="AA17" s="12" t="str">
        <x:v>Parcelamento em até 4x, com parcelas mínimas de R$ 500,00.</x:v>
      </x:c>
      <x:c r="AB17" s="12" t="str">
        <x:v>Tabela única, sem diferenciação de preços para clientes especiais. Item não disponibilizado para revenda.</x:v>
      </x:c>
      <x:c r="AC17" s="12" t="str"/>
      <x:c r="AD17" s="12" t="str">
        <x:v>LP_Neonatos_Leite_07.2026.pdf</x:v>
      </x:c>
      <x:c r="AE17" s="12" t="str">
        <x:v>2</x:v>
      </x:c>
      <x:c r="AF17" s="14" t="n">
        <x:v>46211</x:v>
      </x:c>
      <x:c r="AG17" s="12" t="str"/>
      <x:c r="AH17" s="12" t="str">
        <x:f>F17&amp;"|"&amp;G17&amp;"|"&amp;H17&amp;"|"&amp;J17&amp;"|"&amp;Q17</x:f>
        <x:v>Neonatos|Leite|Todos|701017|unidade</x:v>
      </x:c>
      <x:c r="AI17" s="12" t="str">
        <x:f>K17&amp;IF(L17&lt;&gt;""," ("&amp;L17&amp;")","")&amp;" — "&amp;Q17&amp;": R$ "&amp;ROUND(X17,2)&amp;" | "&amp;H17&amp;" | válido até "&amp;DAY(E17)&amp;"/"&amp;MONTH(E17)&amp;"/"&amp;YEAR(E17)</x:f>
        <x:v>Bico Excedente — unidade: R$ 29.63 | Todos | válido até 5/8/2026</x:v>
      </x:c>
    </x:row>
    <x:row r="18">
      <x:c r="A18" s="12" t="str">
        <x:v>NEO-0017</x:v>
      </x:c>
      <x:c r="B18" s="12" t="str">
        <x:v>Ativo</x:v>
      </x:c>
      <x:c r="C18" s="12" t="str">
        <x:v>Julho/2026</x:v>
      </x:c>
      <x:c r="D18" s="14" t="n">
        <x:v>46204</x:v>
      </x:c>
      <x:c r="E18" s="14" t="n">
        <x:v>46239</x:v>
      </x:c>
      <x:c r="F18" s="12" t="str">
        <x:v>Neonatos</x:v>
      </x:c>
      <x:c r="G18" s="12" t="str">
        <x:v>Leite</x:v>
      </x:c>
      <x:c r="H18" s="12" t="str">
        <x:v>Todos</x:v>
      </x:c>
      <x:c r="I18" s="12" t="str">
        <x:v>Acessórios</x:v>
      </x:c>
      <x:c r="J18" s="12" t="str">
        <x:v>715089</x:v>
      </x:c>
      <x:c r="K18" s="12" t="str">
        <x:v>Jaqueta para Bezerras</x:v>
      </x:c>
      <x:c r="L18" s="12" t="str"/>
      <x:c r="M18" s="12" t="str">
        <x:v>Acessório</x:v>
      </x:c>
      <x:c r="N18" s="12" t="str">
        <x:v>unidade</x:v>
      </x:c>
      <x:c r="O18" s="12" t="n">
        <x:v>1</x:v>
      </x:c>
      <x:c r="P18" s="12"/>
      <x:c r="Q18" s="12" t="str">
        <x:v>unidade</x:v>
      </x:c>
      <x:c r="R18" s="16" t="n">
        <x:v>210</x:v>
      </x:c>
      <x:c r="S18" s="18" t="n">
        <x:v>0.065</x:v>
      </x:c>
      <x:c r="T18" s="16" t="n">
        <x:f>IF(R18="","",INT(R18*(1+IFERROR(S18,0))*100+0.5001)/100)</x:f>
        <x:v>223.65</x:v>
      </x:c>
      <x:c r="U18" s="16" t="n">
        <x:v>223.65</x:v>
      </x:c>
      <x:c r="V18" s="16" t="n">
        <x:v>0</x:v>
      </x:c>
      <x:c r="W18" s="16"/>
      <x:c r="X18" s="16" t="n">
        <x:v>223.65</x:v>
      </x:c>
      <x:c r="Y18" s="12"/>
      <x:c r="Z18" s="12"/>
      <x:c r="AA18" s="12" t="str">
        <x:v>Parcelamento em até 4x, com parcelas mínimas de R$ 500,00.</x:v>
      </x:c>
      <x:c r="AB18" s="12" t="str">
        <x:v>Tabela única, sem diferenciação de preços para clientes especiais. Item não disponibilizado para revenda.</x:v>
      </x:c>
      <x:c r="AC18" s="12"/>
      <x:c r="AD18" s="12" t="str">
        <x:v>LP_Neonatos_Leite_07.2026.pdf</x:v>
      </x:c>
      <x:c r="AE18" s="12" t="str">
        <x:v>2</x:v>
      </x:c>
      <x:c r="AF18" s="14" t="n">
        <x:v>46211</x:v>
      </x:c>
      <x:c r="AG18" s="12" t="str"/>
      <x:c r="AH18" s="12" t="str">
        <x:f>F18&amp;"|"&amp;G18&amp;"|"&amp;H18&amp;"|"&amp;J18&amp;"|"&amp;Q18</x:f>
        <x:v>Neonatos|Leite|Todos|715089|unidade</x:v>
      </x:c>
      <x:c r="AI18" s="12" t="str">
        <x:v>Jaqueta para Bezerras — unidade: R$ 223,65 | Todos | válido até 05/08/2026</x:v>
      </x:c>
    </x:row>
    <x:row r="19">
      <x:c r="A19" s="12" t="str">
        <x:v>NEO-0018</x:v>
      </x:c>
      <x:c r="B19" s="12" t="str">
        <x:v>Ativo</x:v>
      </x:c>
      <x:c r="C19" s="12" t="str">
        <x:v>Julho/2026</x:v>
      </x:c>
      <x:c r="D19" s="14" t="n">
        <x:v>46204</x:v>
      </x:c>
      <x:c r="E19" s="14" t="n">
        <x:v>46239</x:v>
      </x:c>
      <x:c r="F19" s="12" t="str">
        <x:v>Neonatos</x:v>
      </x:c>
      <x:c r="G19" s="12" t="str">
        <x:v>Leite</x:v>
      </x:c>
      <x:c r="H19" s="12" t="str">
        <x:v>Todos</x:v>
      </x:c>
      <x:c r="I19" s="12" t="str">
        <x:v>Acessórios</x:v>
      </x:c>
      <x:c r="J19" s="12" t="str">
        <x:v>701011</x:v>
      </x:c>
      <x:c r="K19" s="12" t="str">
        <x:v>Mamadeira para Bezerros</x:v>
      </x:c>
      <x:c r="L19" s="12" t="str"/>
      <x:c r="M19" s="12" t="str">
        <x:v>Acessório</x:v>
      </x:c>
      <x:c r="N19" s="12" t="str">
        <x:v>unidade</x:v>
      </x:c>
      <x:c r="O19" s="12" t="n">
        <x:v>1</x:v>
      </x:c>
      <x:c r="P19" s="12"/>
      <x:c r="Q19" s="12" t="str">
        <x:v>unidade</x:v>
      </x:c>
      <x:c r="R19" s="16" t="n">
        <x:v>130</x:v>
      </x:c>
      <x:c r="S19" s="18" t="n">
        <x:v>0.0975</x:v>
      </x:c>
      <x:c r="T19" s="16" t="n">
        <x:f>IF(R19="","",INT(R19*(1+IFERROR(S19,0))*100+0.5001)/100)</x:f>
        <x:v>142.68</x:v>
      </x:c>
      <x:c r="U19" s="16" t="n">
        <x:v>142.68</x:v>
      </x:c>
      <x:c r="V19" s="16" t="n">
        <x:f>IF(U19="","",U19-T19)</x:f>
        <x:v>0</x:v>
      </x:c>
      <x:c r="W19" s="16"/>
      <x:c r="X19" s="16" t="n">
        <x:f>IF(W19&lt;&gt;"",W19,IF(U19&lt;&gt;"",U19,T19))</x:f>
        <x:v>142.68</x:v>
      </x:c>
      <x:c r="Y19" s="12"/>
      <x:c r="Z19" s="12"/>
      <x:c r="AA19" s="12" t="str">
        <x:v>Parcelamento em até 4x, com parcelas mínimas de R$ 500,00.</x:v>
      </x:c>
      <x:c r="AB19" s="12" t="str">
        <x:v>Tabela única, sem diferenciação de preços para clientes especiais. Item não disponibilizado para revenda.</x:v>
      </x:c>
      <x:c r="AC19" s="12" t="str"/>
      <x:c r="AD19" s="12" t="str">
        <x:v>LP_Neonatos_Leite_07.2026.pdf</x:v>
      </x:c>
      <x:c r="AE19" s="12" t="str">
        <x:v>2</x:v>
      </x:c>
      <x:c r="AF19" s="14" t="n">
        <x:v>46211</x:v>
      </x:c>
      <x:c r="AG19" s="12" t="str"/>
      <x:c r="AH19" s="12" t="str">
        <x:f>F19&amp;"|"&amp;G19&amp;"|"&amp;H19&amp;"|"&amp;J19&amp;"|"&amp;Q19</x:f>
        <x:v>Neonatos|Leite|Todos|701011|unidade</x:v>
      </x:c>
      <x:c r="AI19" s="12" t="str">
        <x:f>K19&amp;IF(L19&lt;&gt;""," ("&amp;L19&amp;")","")&amp;" — "&amp;Q19&amp;": R$ "&amp;ROUND(X19,2)&amp;" | "&amp;H19&amp;" | válido até "&amp;DAY(E19)&amp;"/"&amp;MONTH(E19)&amp;"/"&amp;YEAR(E19)</x:f>
        <x:v>Mamadeira para Bezerros — unidade: R$ 142.68 | Todos | válido até 5/8/2026</x:v>
      </x:c>
    </x:row>
    <x:row r="20">
      <x:c r="A20" s="12" t="str">
        <x:v>NEO-0019</x:v>
      </x:c>
      <x:c r="B20" s="12" t="str">
        <x:v>Ativo</x:v>
      </x:c>
      <x:c r="C20" s="12" t="str">
        <x:v>Julho/2026</x:v>
      </x:c>
      <x:c r="D20" s="14" t="n">
        <x:v>46204</x:v>
      </x:c>
      <x:c r="E20" s="14" t="n">
        <x:v>46239</x:v>
      </x:c>
      <x:c r="F20" s="12" t="str">
        <x:v>Neonatos</x:v>
      </x:c>
      <x:c r="G20" s="12" t="str">
        <x:v>Leite</x:v>
      </x:c>
      <x:c r="H20" s="12" t="str">
        <x:v>Todos</x:v>
      </x:c>
      <x:c r="I20" s="12" t="str">
        <x:v>Acessórios</x:v>
      </x:c>
      <x:c r="J20" s="12" t="str">
        <x:v>712830</x:v>
      </x:c>
      <x:c r="K20" s="12" t="str">
        <x:v>Refratômetro Digital</x:v>
      </x:c>
      <x:c r="L20" s="12" t="str"/>
      <x:c r="M20" s="12" t="str">
        <x:v>Acessório</x:v>
      </x:c>
      <x:c r="N20" s="12" t="str">
        <x:v>unidade</x:v>
      </x:c>
      <x:c r="O20" s="12" t="n">
        <x:v>1</x:v>
      </x:c>
      <x:c r="P20" s="12"/>
      <x:c r="Q20" s="12" t="str">
        <x:v>unidade</x:v>
      </x:c>
      <x:c r="R20" s="16" t="n">
        <x:v>1800</x:v>
      </x:c>
      <x:c r="S20" s="18" t="n">
        <x:v>0</x:v>
      </x:c>
      <x:c r="T20" s="16" t="n">
        <x:f>IF(R20="","",INT(R20*(1+IFERROR(S20,0))*100+0.5001)/100)</x:f>
        <x:v>1800</x:v>
      </x:c>
      <x:c r="U20" s="16" t="n">
        <x:v>1800</x:v>
      </x:c>
      <x:c r="V20" s="16" t="n">
        <x:f>IF(U20="","",U20-T20)</x:f>
        <x:v>0</x:v>
      </x:c>
      <x:c r="W20" s="16"/>
      <x:c r="X20" s="16" t="n">
        <x:f>IF(W20&lt;&gt;"",W20,IF(U20&lt;&gt;"",U20,T20))</x:f>
        <x:v>1800</x:v>
      </x:c>
      <x:c r="Y20" s="12"/>
      <x:c r="Z20" s="12"/>
      <x:c r="AA20" s="12" t="str">
        <x:v>Parcelamento em até 4x, com parcelas mínimas de R$ 500,00.</x:v>
      </x:c>
      <x:c r="AB20" s="12" t="str">
        <x:v>Tabela única, sem diferenciação de preços para clientes especiais. Item não disponibilizado para revenda.</x:v>
      </x:c>
      <x:c r="AC20" s="12" t="str"/>
      <x:c r="AD20" s="12" t="str">
        <x:v>LP_Neonatos_Leite_07.2026.pdf</x:v>
      </x:c>
      <x:c r="AE20" s="12" t="str">
        <x:v>2</x:v>
      </x:c>
      <x:c r="AF20" s="14" t="n">
        <x:v>46211</x:v>
      </x:c>
      <x:c r="AG20" s="12" t="str"/>
      <x:c r="AH20" s="12" t="str">
        <x:f>F20&amp;"|"&amp;G20&amp;"|"&amp;H20&amp;"|"&amp;J20&amp;"|"&amp;Q20</x:f>
        <x:v>Neonatos|Leite|Todos|712830|unidade</x:v>
      </x:c>
      <x:c r="AI20" s="12" t="str">
        <x:f>K20&amp;IF(L20&lt;&gt;""," ("&amp;L20&amp;")","")&amp;" — "&amp;Q20&amp;": R$ "&amp;ROUND(X20,2)&amp;" | "&amp;H20&amp;" | válido até "&amp;DAY(E20)&amp;"/"&amp;MONTH(E20)&amp;"/"&amp;YEAR(E20)</x:f>
        <x:v>Refratômetro Digital — unidade: R$ 1800 | Todos | válido até 5/8/2026</x:v>
      </x:c>
    </x:row>
    <x:row r="21">
      <x:c r="A21" s="12" t="str">
        <x:v>NEO-0020</x:v>
      </x:c>
      <x:c r="B21" s="12" t="str">
        <x:v>Ativo</x:v>
      </x:c>
      <x:c r="C21" s="12" t="str">
        <x:v>Julho/2026</x:v>
      </x:c>
      <x:c r="D21" s="14" t="n">
        <x:v>46204</x:v>
      </x:c>
      <x:c r="E21" s="14" t="n">
        <x:v>46239</x:v>
      </x:c>
      <x:c r="F21" s="12" t="str">
        <x:v>Neonatos</x:v>
      </x:c>
      <x:c r="G21" s="12" t="str">
        <x:v>Leite</x:v>
      </x:c>
      <x:c r="H21" s="12" t="str">
        <x:v>Todos</x:v>
      </x:c>
      <x:c r="I21" s="12" t="str">
        <x:v>Acessórios</x:v>
      </x:c>
      <x:c r="J21" s="12" t="str">
        <x:v>706529</x:v>
      </x:c>
      <x:c r="K21" s="12" t="str">
        <x:v>Refratômetro Óptico</x:v>
      </x:c>
      <x:c r="L21" s="12" t="str"/>
      <x:c r="M21" s="12" t="str">
        <x:v>Acessório</x:v>
      </x:c>
      <x:c r="N21" s="12" t="str">
        <x:v>unidade</x:v>
      </x:c>
      <x:c r="O21" s="12" t="n">
        <x:v>1</x:v>
      </x:c>
      <x:c r="P21" s="12"/>
      <x:c r="Q21" s="12" t="str">
        <x:v>unidade</x:v>
      </x:c>
      <x:c r="R21" s="16" t="n">
        <x:v>155</x:v>
      </x:c>
      <x:c r="S21" s="18" t="n">
        <x:v>0</x:v>
      </x:c>
      <x:c r="T21" s="16" t="n">
        <x:f>IF(R21="","",INT(R21*(1+IFERROR(S21,0))*100+0.5001)/100)</x:f>
        <x:v>155</x:v>
      </x:c>
      <x:c r="U21" s="16" t="n">
        <x:v>155</x:v>
      </x:c>
      <x:c r="V21" s="16" t="n">
        <x:f>IF(U21="","",U21-T21)</x:f>
        <x:v>0</x:v>
      </x:c>
      <x:c r="W21" s="16"/>
      <x:c r="X21" s="16" t="n">
        <x:f>IF(W21&lt;&gt;"",W21,IF(U21&lt;&gt;"",U21,T21))</x:f>
        <x:v>155</x:v>
      </x:c>
      <x:c r="Y21" s="12"/>
      <x:c r="Z21" s="12"/>
      <x:c r="AA21" s="12" t="str">
        <x:v>Parcelamento em até 4x, com parcelas mínimas de R$ 500,00.</x:v>
      </x:c>
      <x:c r="AB21" s="12" t="str">
        <x:v>Tabela única, sem diferenciação de preços para clientes especiais. Item não disponibilizado para revenda.</x:v>
      </x:c>
      <x:c r="AC21" s="12" t="str"/>
      <x:c r="AD21" s="12" t="str">
        <x:v>LP_Neonatos_Leite_07.2026.pdf</x:v>
      </x:c>
      <x:c r="AE21" s="12" t="str">
        <x:v>2</x:v>
      </x:c>
      <x:c r="AF21" s="14" t="n">
        <x:v>46211</x:v>
      </x:c>
      <x:c r="AG21" s="12" t="str"/>
      <x:c r="AH21" s="12" t="str">
        <x:f>F21&amp;"|"&amp;G21&amp;"|"&amp;H21&amp;"|"&amp;J21&amp;"|"&amp;Q21</x:f>
        <x:v>Neonatos|Leite|Todos|706529|unidade</x:v>
      </x:c>
      <x:c r="AI21" s="12" t="str">
        <x:f>K21&amp;IF(L21&lt;&gt;""," ("&amp;L21&amp;")","")&amp;" — "&amp;Q21&amp;": R$ "&amp;ROUND(X21,2)&amp;" | "&amp;H21&amp;" | válido até "&amp;DAY(E21)&amp;"/"&amp;MONTH(E21)&amp;"/"&amp;YEAR(E21)</x:f>
        <x:v>Refratômetro Óptico — unidade: R$ 155 | Todos | válido até 5/8/2026</x:v>
      </x:c>
    </x:row>
    <x:row r="22">
      <x:c r="A22" s="12" t="str">
        <x:v>NEO-0021</x:v>
      </x:c>
      <x:c r="B22" s="12" t="str">
        <x:v>Ativo</x:v>
      </x:c>
      <x:c r="C22" s="12" t="str">
        <x:v>Julho/2026</x:v>
      </x:c>
      <x:c r="D22" s="14" t="n">
        <x:v>46204</x:v>
      </x:c>
      <x:c r="E22" s="14" t="n">
        <x:v>46239</x:v>
      </x:c>
      <x:c r="F22" s="12" t="str">
        <x:v>Neonatos</x:v>
      </x:c>
      <x:c r="G22" s="12" t="str">
        <x:v>Leite</x:v>
      </x:c>
      <x:c r="H22" s="12" t="str">
        <x:v>Todos</x:v>
      </x:c>
      <x:c r="I22" s="12" t="str">
        <x:v>Acessórios</x:v>
      </x:c>
      <x:c r="J22" s="12" t="str">
        <x:v>715349</x:v>
      </x:c>
      <x:c r="K22" s="12" t="str">
        <x:v>Sonda Esofágica</x:v>
      </x:c>
      <x:c r="L22" s="12" t="str"/>
      <x:c r="M22" s="12" t="str">
        <x:v>Acessório</x:v>
      </x:c>
      <x:c r="N22" s="12" t="str">
        <x:v>unidade</x:v>
      </x:c>
      <x:c r="O22" s="12" t="n">
        <x:v>1</x:v>
      </x:c>
      <x:c r="P22" s="12"/>
      <x:c r="Q22" s="12" t="str">
        <x:v>unidade</x:v>
      </x:c>
      <x:c r="R22" s="16" t="n">
        <x:v>440</x:v>
      </x:c>
      <x:c r="S22" s="18" t="n">
        <x:v>0.0975</x:v>
      </x:c>
      <x:c r="T22" s="16" t="n">
        <x:f>IF(R22="","",INT(R22*(1+IFERROR(S22,0))*100+0.5001)/100)</x:f>
        <x:v>482.9</x:v>
      </x:c>
      <x:c r="U22" s="16" t="n">
        <x:v>482.9</x:v>
      </x:c>
      <x:c r="V22" s="16" t="n">
        <x:f>IF(U22="","",U22-T22)</x:f>
        <x:v>0</x:v>
      </x:c>
      <x:c r="W22" s="16"/>
      <x:c r="X22" s="16" t="n">
        <x:f>IF(W22&lt;&gt;"",W22,IF(U22&lt;&gt;"",U22,T22))</x:f>
        <x:v>482.9</x:v>
      </x:c>
      <x:c r="Y22" s="12"/>
      <x:c r="Z22" s="12"/>
      <x:c r="AA22" s="12" t="str">
        <x:v>Parcelamento em até 4x, com parcelas mínimas de R$ 500,00.</x:v>
      </x:c>
      <x:c r="AB22" s="12" t="str">
        <x:v>Tabela única, sem diferenciação de preços para clientes especiais. Item não disponibilizado para revenda.</x:v>
      </x:c>
      <x:c r="AC22" s="12" t="str"/>
      <x:c r="AD22" s="12" t="str">
        <x:v>LP_Neonatos_Leite_07.2026.pdf</x:v>
      </x:c>
      <x:c r="AE22" s="12" t="str">
        <x:v>2</x:v>
      </x:c>
      <x:c r="AF22" s="14" t="n">
        <x:v>46211</x:v>
      </x:c>
      <x:c r="AG22" s="12" t="str"/>
      <x:c r="AH22" s="12" t="str">
        <x:f>F22&amp;"|"&amp;G22&amp;"|"&amp;H22&amp;"|"&amp;J22&amp;"|"&amp;Q22</x:f>
        <x:v>Neonatos|Leite|Todos|715349|unidade</x:v>
      </x:c>
      <x:c r="AI22" s="12" t="str">
        <x:f>K22&amp;IF(L22&lt;&gt;""," ("&amp;L22&amp;")","")&amp;" — "&amp;Q22&amp;": R$ "&amp;ROUND(X22,2)&amp;" | "&amp;H22&amp;" | válido até "&amp;DAY(E22)&amp;"/"&amp;MONTH(E22)&amp;"/"&amp;YEAR(E22)</x:f>
        <x:v>Sonda Esofágica — unidade: R$ 482.9 | Todos | válido até 5/8/2026</x:v>
      </x:c>
    </x:row>
    <x:row r="23">
      <x:c r="A23" s="12" t="str">
        <x:v>NEO-0022</x:v>
      </x:c>
      <x:c r="B23" s="12" t="str">
        <x:v>Ativo</x:v>
      </x:c>
      <x:c r="C23" s="12" t="str">
        <x:v>Julho/2026</x:v>
      </x:c>
      <x:c r="D23" s="14" t="n">
        <x:v>46204</x:v>
      </x:c>
      <x:c r="E23" s="14" t="n">
        <x:v>46239</x:v>
      </x:c>
      <x:c r="F23" s="12" t="str">
        <x:v>Neonatos</x:v>
      </x:c>
      <x:c r="G23" s="12" t="str">
        <x:v>Leite</x:v>
      </x:c>
      <x:c r="H23" s="12" t="str">
        <x:v>Todos</x:v>
      </x:c>
      <x:c r="I23" s="12" t="str">
        <x:v>Acessórios</x:v>
      </x:c>
      <x:c r="J23" s="12" t="str">
        <x:v>736280</x:v>
      </x:c>
      <x:c r="K23" s="12" t="str">
        <x:v>Saco Hermético p/ Congelamento de Colostro</x:v>
      </x:c>
      <x:c r="L23" s="12" t="str">
        <x:v>192 unidades</x:v>
      </x:c>
      <x:c r="M23" s="12" t="str">
        <x:v>Acessório</x:v>
      </x:c>
      <x:c r="N23" s="12" t="str">
        <x:v>unidade</x:v>
      </x:c>
      <x:c r="O23" s="12" t="n">
        <x:v>1</x:v>
      </x:c>
      <x:c r="P23" s="12"/>
      <x:c r="Q23" s="12" t="str">
        <x:v>unidade</x:v>
      </x:c>
      <x:c r="R23" s="16" t="n">
        <x:v>760</x:v>
      </x:c>
      <x:c r="S23" s="18" t="n">
        <x:v>0.0975</x:v>
      </x:c>
      <x:c r="T23" s="16" t="n">
        <x:f>IF(R23="","",INT(R23*(1+IFERROR(S23,0))*100+0.5001)/100)</x:f>
        <x:v>834.1</x:v>
      </x:c>
      <x:c r="U23" s="16" t="n">
        <x:v>834.1</x:v>
      </x:c>
      <x:c r="V23" s="16" t="n">
        <x:f>IF(U23="","",U23-T23)</x:f>
        <x:v>0</x:v>
      </x:c>
      <x:c r="W23" s="16"/>
      <x:c r="X23" s="16" t="n">
        <x:f>IF(W23&lt;&gt;"",W23,IF(U23&lt;&gt;"",U23,T23))</x:f>
        <x:v>834.1</x:v>
      </x:c>
      <x:c r="Y23" s="12"/>
      <x:c r="Z23" s="12"/>
      <x:c r="AA23" s="12" t="str">
        <x:v>Parcelamento em até 4x, com parcelas mínimas de R$ 500,00.</x:v>
      </x:c>
      <x:c r="AB23" s="12" t="str">
        <x:v>Tabela única, sem diferenciação de preços para clientes especiais. Item não disponibilizado para revenda.</x:v>
      </x:c>
      <x:c r="AC23" s="12" t="str"/>
      <x:c r="AD23" s="12" t="str">
        <x:v>LP_Neonatos_Leite_07.2026.pdf</x:v>
      </x:c>
      <x:c r="AE23" s="12" t="str">
        <x:v>2</x:v>
      </x:c>
      <x:c r="AF23" s="14" t="n">
        <x:v>46211</x:v>
      </x:c>
      <x:c r="AG23" s="12" t="str"/>
      <x:c r="AH23" s="12" t="str">
        <x:f>F23&amp;"|"&amp;G23&amp;"|"&amp;H23&amp;"|"&amp;J23&amp;"|"&amp;Q23</x:f>
        <x:v>Neonatos|Leite|Todos|736280|unidade</x:v>
      </x:c>
      <x:c r="AI23" s="12" t="str">
        <x:f>K23&amp;IF(L23&lt;&gt;""," ("&amp;L23&amp;")","")&amp;" — "&amp;Q23&amp;": R$ "&amp;ROUND(X23,2)&amp;" | "&amp;H23&amp;" | válido até "&amp;DAY(E23)&amp;"/"&amp;MONTH(E23)&amp;"/"&amp;YEAR(E23)</x:f>
        <x:v>Saco Hermético p/ Congelamento de Colostro (192 unidades) — unidade: R$ 834.1 | Todos | válido até 5/8/2026</x:v>
      </x:c>
    </x:row>
    <x:row r="24">
      <x:c r="A24" s="12" t="str">
        <x:v>NEO-0023</x:v>
      </x:c>
      <x:c r="B24" s="12" t="str">
        <x:v>Ativo</x:v>
      </x:c>
      <x:c r="C24" s="12" t="str">
        <x:v>Julho/2026</x:v>
      </x:c>
      <x:c r="D24" s="14" t="n">
        <x:v>46204</x:v>
      </x:c>
      <x:c r="E24" s="14" t="n">
        <x:v>46239</x:v>
      </x:c>
      <x:c r="F24" s="12" t="str">
        <x:v>Neonatos</x:v>
      </x:c>
      <x:c r="G24" s="12" t="str">
        <x:v>Corte</x:v>
      </x:c>
      <x:c r="H24" s="12" t="str">
        <x:v>Produtor</x:v>
      </x:c>
      <x:c r="I24" s="12" t="str">
        <x:v>Venda regular</x:v>
      </x:c>
      <x:c r="J24" s="12" t="str">
        <x:v>746834</x:v>
      </x:c>
      <x:c r="K24" s="12" t="str">
        <x:v>SOS BEEF</x:v>
      </x:c>
      <x:c r="L24" s="12" t="str">
        <x:v>235 g</x:v>
      </x:c>
      <x:c r="M24" s="12" t="str">
        <x:v>Produto</x:v>
      </x:c>
      <x:c r="N24" s="12" t="str">
        <x:v>pacote</x:v>
      </x:c>
      <x:c r="O24" s="12" t="n">
        <x:v>8</x:v>
      </x:c>
      <x:c r="P24" s="12" t="n">
        <x:v>16</x:v>
      </x:c>
      <x:c r="Q24" s="12" t="str">
        <x:v>8 a 16</x:v>
      </x:c>
      <x:c r="R24" s="16" t="n">
        <x:v>216</x:v>
      </x:c>
      <x:c r="S24" s="18" t="n">
        <x:v>0</x:v>
      </x:c>
      <x:c r="T24" s="16" t="n">
        <x:f>IF(R24="","",INT(R24*(1+IFERROR(S24,0))*100+0.5001)/100)</x:f>
        <x:v>216</x:v>
      </x:c>
      <x:c r="U24" s="16"/>
      <x:c r="V24" s="16" t="str">
        <x:f>IF(U24="","",U24-T24)</x:f>
      </x:c>
      <x:c r="W24" s="16"/>
      <x:c r="X24" s="16" t="n">
        <x:f>IF(W24&lt;&gt;"",W24,IF(U24&lt;&gt;"",U24,T24))</x:f>
        <x:v>216</x:v>
      </x:c>
      <x:c r="Y24" s="12" t="n">
        <x:v>8</x:v>
      </x:c>
      <x:c r="Z24" s="12" t="n">
        <x:v>8</x:v>
      </x:c>
      <x:c r="AA24" s="12" t="str">
        <x:v>Parcelamento em até 4x, com parcelas mínimas de R$ 500,00.</x:v>
      </x:c>
      <x:c r="AB24" s="12" t="str">
        <x:v>Produto comercializado somente em múltiplos de 8 unidades.</x:v>
      </x:c>
      <x:c r="AC24" s="12" t="str"/>
      <x:c r="AD24" s="12" t="str">
        <x:v>LP_Neonatos_Corte_07.2026.pdf</x:v>
      </x:c>
      <x:c r="AE24" s="12" t="str">
        <x:v>1</x:v>
      </x:c>
      <x:c r="AF24" s="14" t="n">
        <x:v>46211</x:v>
      </x:c>
      <x:c r="AG24" s="12" t="str"/>
      <x:c r="AH24" s="12" t="str">
        <x:f>F24&amp;"|"&amp;G24&amp;"|"&amp;H24&amp;"|"&amp;J24&amp;"|"&amp;Q24</x:f>
        <x:v>Neonatos|Corte|Produtor|746834|8 a 16</x:v>
      </x:c>
      <x:c r="AI24" s="12" t="str">
        <x:f>K24&amp;IF(L24&lt;&gt;""," ("&amp;L24&amp;")","")&amp;" — "&amp;Q24&amp;": R$ "&amp;ROUND(X24,2)&amp;" | "&amp;H24&amp;" | válido até "&amp;DAY(E24)&amp;"/"&amp;MONTH(E24)&amp;"/"&amp;YEAR(E24)</x:f>
        <x:v>SOS BEEF (235 g) — 8 a 16: R$ 216 | Produtor | válido até 5/8/2026</x:v>
      </x:c>
    </x:row>
    <x:row r="25">
      <x:c r="A25" s="12" t="str">
        <x:v>NEO-0024</x:v>
      </x:c>
      <x:c r="B25" s="12" t="str">
        <x:v>Ativo</x:v>
      </x:c>
      <x:c r="C25" s="12" t="str">
        <x:v>Julho/2026</x:v>
      </x:c>
      <x:c r="D25" s="14" t="n">
        <x:v>46204</x:v>
      </x:c>
      <x:c r="E25" s="14" t="n">
        <x:v>46239</x:v>
      </x:c>
      <x:c r="F25" s="12" t="str">
        <x:v>Neonatos</x:v>
      </x:c>
      <x:c r="G25" s="12" t="str">
        <x:v>Corte</x:v>
      </x:c>
      <x:c r="H25" s="12" t="str">
        <x:v>Produtor</x:v>
      </x:c>
      <x:c r="I25" s="12" t="str">
        <x:v>Venda regular</x:v>
      </x:c>
      <x:c r="J25" s="12" t="str">
        <x:v>746834</x:v>
      </x:c>
      <x:c r="K25" s="12" t="str">
        <x:v>SOS BEEF</x:v>
      </x:c>
      <x:c r="L25" s="12" t="str">
        <x:v>235 g</x:v>
      </x:c>
      <x:c r="M25" s="12" t="str">
        <x:v>Produto</x:v>
      </x:c>
      <x:c r="N25" s="12" t="str">
        <x:v>pacote</x:v>
      </x:c>
      <x:c r="O25" s="12" t="n">
        <x:v>24</x:v>
      </x:c>
      <x:c r="P25" s="12" t="n">
        <x:v>32</x:v>
      </x:c>
      <x:c r="Q25" s="12" t="str">
        <x:v>24 a 32</x:v>
      </x:c>
      <x:c r="R25" s="16" t="n">
        <x:v>206</x:v>
      </x:c>
      <x:c r="S25" s="18" t="n">
        <x:v>0</x:v>
      </x:c>
      <x:c r="T25" s="16" t="n">
        <x:f>IF(R25="","",INT(R25*(1+IFERROR(S25,0))*100+0.5001)/100)</x:f>
        <x:v>206</x:v>
      </x:c>
      <x:c r="U25" s="16"/>
      <x:c r="V25" s="16" t="str">
        <x:f>IF(U25="","",U25-T25)</x:f>
      </x:c>
      <x:c r="W25" s="16"/>
      <x:c r="X25" s="16" t="n">
        <x:f>IF(W25&lt;&gt;"",W25,IF(U25&lt;&gt;"",U25,T25))</x:f>
        <x:v>206</x:v>
      </x:c>
      <x:c r="Y25" s="12" t="n">
        <x:v>8</x:v>
      </x:c>
      <x:c r="Z25" s="12" t="n">
        <x:v>8</x:v>
      </x:c>
      <x:c r="AA25" s="12" t="str">
        <x:v>Parcelamento em até 4x, com parcelas mínimas de R$ 500,00.</x:v>
      </x:c>
      <x:c r="AB25" s="12" t="str">
        <x:v>Produto comercializado somente em múltiplos de 8 unidades.</x:v>
      </x:c>
      <x:c r="AC25" s="12" t="str"/>
      <x:c r="AD25" s="12" t="str">
        <x:v>LP_Neonatos_Corte_07.2026.pdf</x:v>
      </x:c>
      <x:c r="AE25" s="12" t="str">
        <x:v>1</x:v>
      </x:c>
      <x:c r="AF25" s="14" t="n">
        <x:v>46211</x:v>
      </x:c>
      <x:c r="AG25" s="12" t="str"/>
      <x:c r="AH25" s="12" t="str">
        <x:f>F25&amp;"|"&amp;G25&amp;"|"&amp;H25&amp;"|"&amp;J25&amp;"|"&amp;Q25</x:f>
        <x:v>Neonatos|Corte|Produtor|746834|24 a 32</x:v>
      </x:c>
      <x:c r="AI25" s="12" t="str">
        <x:f>K25&amp;IF(L25&lt;&gt;""," ("&amp;L25&amp;")","")&amp;" — "&amp;Q25&amp;": R$ "&amp;ROUND(X25,2)&amp;" | "&amp;H25&amp;" | válido até "&amp;DAY(E25)&amp;"/"&amp;MONTH(E25)&amp;"/"&amp;YEAR(E25)</x:f>
        <x:v>SOS BEEF (235 g) — 24 a 32: R$ 206 | Produtor | válido até 5/8/2026</x:v>
      </x:c>
    </x:row>
    <x:row r="26">
      <x:c r="A26" s="12" t="str">
        <x:v>NEO-0025</x:v>
      </x:c>
      <x:c r="B26" s="12" t="str">
        <x:v>Ativo</x:v>
      </x:c>
      <x:c r="C26" s="12" t="str">
        <x:v>Julho/2026</x:v>
      </x:c>
      <x:c r="D26" s="14" t="n">
        <x:v>46204</x:v>
      </x:c>
      <x:c r="E26" s="14" t="n">
        <x:v>46239</x:v>
      </x:c>
      <x:c r="F26" s="12" t="str">
        <x:v>Neonatos</x:v>
      </x:c>
      <x:c r="G26" s="12" t="str">
        <x:v>Corte</x:v>
      </x:c>
      <x:c r="H26" s="12" t="str">
        <x:v>Produtor</x:v>
      </x:c>
      <x:c r="I26" s="12" t="str">
        <x:v>Venda regular</x:v>
      </x:c>
      <x:c r="J26" s="12" t="str">
        <x:v>746834</x:v>
      </x:c>
      <x:c r="K26" s="12" t="str">
        <x:v>SOS BEEF</x:v>
      </x:c>
      <x:c r="L26" s="12" t="str">
        <x:v>235 g</x:v>
      </x:c>
      <x:c r="M26" s="12" t="str">
        <x:v>Produto</x:v>
      </x:c>
      <x:c r="N26" s="12" t="str">
        <x:v>pacote</x:v>
      </x:c>
      <x:c r="O26" s="12" t="n">
        <x:v>33</x:v>
      </x:c>
      <x:c r="P26" s="12"/>
      <x:c r="Q26" s="12" t="str">
        <x:v>&gt; 32</x:v>
      </x:c>
      <x:c r="R26" s="16" t="n">
        <x:v>200</x:v>
      </x:c>
      <x:c r="S26" s="18" t="n">
        <x:v>0</x:v>
      </x:c>
      <x:c r="T26" s="16" t="n">
        <x:f>IF(R26="","",INT(R26*(1+IFERROR(S26,0))*100+0.5001)/100)</x:f>
        <x:v>200</x:v>
      </x:c>
      <x:c r="U26" s="16"/>
      <x:c r="V26" s="16" t="str">
        <x:f>IF(U26="","",U26-T26)</x:f>
      </x:c>
      <x:c r="W26" s="16"/>
      <x:c r="X26" s="16" t="n">
        <x:f>IF(W26&lt;&gt;"",W26,IF(U26&lt;&gt;"",U26,T26))</x:f>
        <x:v>200</x:v>
      </x:c>
      <x:c r="Y26" s="12" t="n">
        <x:v>8</x:v>
      </x:c>
      <x:c r="Z26" s="12" t="n">
        <x:v>8</x:v>
      </x:c>
      <x:c r="AA26" s="12" t="str">
        <x:v>Parcelamento em até 4x, com parcelas mínimas de R$ 500,00.</x:v>
      </x:c>
      <x:c r="AB26" s="12" t="str">
        <x:v>Produto comercializado somente em múltiplos de 8 unidades.</x:v>
      </x:c>
      <x:c r="AC26" s="12" t="str"/>
      <x:c r="AD26" s="12" t="str">
        <x:v>LP_Neonatos_Corte_07.2026.pdf</x:v>
      </x:c>
      <x:c r="AE26" s="12" t="str">
        <x:v>1</x:v>
      </x:c>
      <x:c r="AF26" s="14" t="n">
        <x:v>46211</x:v>
      </x:c>
      <x:c r="AG26" s="12" t="str"/>
      <x:c r="AH26" s="12" t="str">
        <x:f>F26&amp;"|"&amp;G26&amp;"|"&amp;H26&amp;"|"&amp;J26&amp;"|"&amp;Q26</x:f>
        <x:v>Neonatos|Corte|Produtor|746834|&gt; 32</x:v>
      </x:c>
      <x:c r="AI26" s="12" t="str">
        <x:f>K26&amp;IF(L26&lt;&gt;""," ("&amp;L26&amp;")","")&amp;" — "&amp;Q26&amp;": R$ "&amp;ROUND(X26,2)&amp;" | "&amp;H26&amp;" | válido até "&amp;DAY(E26)&amp;"/"&amp;MONTH(E26)&amp;"/"&amp;YEAR(E26)</x:f>
        <x:v>SOS BEEF (235 g) — &gt; 32: R$ 200 | Produtor | válido até 5/8/2026</x:v>
      </x:c>
    </x:row>
    <x:row r="27">
      <x:c r="A27" s="12" t="str">
        <x:v>NEO-0026</x:v>
      </x:c>
      <x:c r="B27" s="12" t="str">
        <x:v>Ativo</x:v>
      </x:c>
      <x:c r="C27" s="12" t="str">
        <x:v>Julho/2026</x:v>
      </x:c>
      <x:c r="D27" s="14" t="n">
        <x:v>46204</x:v>
      </x:c>
      <x:c r="E27" s="14" t="n">
        <x:v>46239</x:v>
      </x:c>
      <x:c r="F27" s="12" t="str">
        <x:v>Neonatos</x:v>
      </x:c>
      <x:c r="G27" s="12" t="str">
        <x:v>Corte</x:v>
      </x:c>
      <x:c r="H27" s="12" t="str">
        <x:v>Produtor</x:v>
      </x:c>
      <x:c r="I27" s="12" t="str">
        <x:v>Venda regular</x:v>
      </x:c>
      <x:c r="J27" s="12" t="str">
        <x:v>744637</x:v>
      </x:c>
      <x:c r="K27" s="12" t="str">
        <x:v>AltaLYTE</x:v>
      </x:c>
      <x:c r="L27" s="12" t="str">
        <x:v>875 g</x:v>
      </x:c>
      <x:c r="M27" s="12" t="str">
        <x:v>Produto</x:v>
      </x:c>
      <x:c r="N27" s="12" t="str">
        <x:v>pacote</x:v>
      </x:c>
      <x:c r="O27" s="12" t="n">
        <x:v>5</x:v>
      </x:c>
      <x:c r="P27" s="12" t="n">
        <x:v>20</x:v>
      </x:c>
      <x:c r="Q27" s="12" t="str">
        <x:v>5 a 20</x:v>
      </x:c>
      <x:c r="R27" s="16" t="n">
        <x:v>69</x:v>
      </x:c>
      <x:c r="S27" s="18" t="n">
        <x:v>0</x:v>
      </x:c>
      <x:c r="T27" s="16" t="n">
        <x:f>IF(R27="","",INT(R27*(1+IFERROR(S27,0))*100+0.5001)/100)</x:f>
        <x:v>69</x:v>
      </x:c>
      <x:c r="U27" s="16"/>
      <x:c r="V27" s="16" t="str">
        <x:f>IF(U27="","",U27-T27)</x:f>
      </x:c>
      <x:c r="W27" s="16"/>
      <x:c r="X27" s="16" t="n">
        <x:f>IF(W27&lt;&gt;"",W27,IF(U27&lt;&gt;"",U27,T27))</x:f>
        <x:v>69</x:v>
      </x:c>
      <x:c r="Y27" s="12"/>
      <x:c r="Z27" s="12"/>
      <x:c r="AA27" s="12" t="str">
        <x:v>Parcelamento em até 4x, com parcelas mínimas de R$ 500,00.</x:v>
      </x:c>
      <x:c r="AB27" s="12" t="str"/>
      <x:c r="AC27" s="12" t="str"/>
      <x:c r="AD27" s="12" t="str">
        <x:v>LP_Neonatos_Corte_07.2026.pdf</x:v>
      </x:c>
      <x:c r="AE27" s="12" t="str">
        <x:v>1</x:v>
      </x:c>
      <x:c r="AF27" s="14" t="n">
        <x:v>46211</x:v>
      </x:c>
      <x:c r="AG27" s="12" t="str"/>
      <x:c r="AH27" s="12" t="str">
        <x:f>F27&amp;"|"&amp;G27&amp;"|"&amp;H27&amp;"|"&amp;J27&amp;"|"&amp;Q27</x:f>
        <x:v>Neonatos|Corte|Produtor|744637|5 a 20</x:v>
      </x:c>
      <x:c r="AI27" s="12" t="str">
        <x:f>K27&amp;IF(L27&lt;&gt;""," ("&amp;L27&amp;")","")&amp;" — "&amp;Q27&amp;": R$ "&amp;ROUND(X27,2)&amp;" | "&amp;H27&amp;" | válido até "&amp;DAY(E27)&amp;"/"&amp;MONTH(E27)&amp;"/"&amp;YEAR(E27)</x:f>
        <x:v>AltaLYTE (875 g) — 5 a 20: R$ 69 | Produtor | válido até 5/8/2026</x:v>
      </x:c>
    </x:row>
    <x:row r="28">
      <x:c r="A28" s="12" t="str">
        <x:v>NEO-0027</x:v>
      </x:c>
      <x:c r="B28" s="12" t="str">
        <x:v>Ativo</x:v>
      </x:c>
      <x:c r="C28" s="12" t="str">
        <x:v>Julho/2026</x:v>
      </x:c>
      <x:c r="D28" s="14" t="n">
        <x:v>46204</x:v>
      </x:c>
      <x:c r="E28" s="14" t="n">
        <x:v>46239</x:v>
      </x:c>
      <x:c r="F28" s="12" t="str">
        <x:v>Neonatos</x:v>
      </x:c>
      <x:c r="G28" s="12" t="str">
        <x:v>Corte</x:v>
      </x:c>
      <x:c r="H28" s="12" t="str">
        <x:v>Produtor</x:v>
      </x:c>
      <x:c r="I28" s="12" t="str">
        <x:v>Venda regular</x:v>
      </x:c>
      <x:c r="J28" s="12" t="str">
        <x:v>744637</x:v>
      </x:c>
      <x:c r="K28" s="12" t="str">
        <x:v>AltaLYTE</x:v>
      </x:c>
      <x:c r="L28" s="12" t="str">
        <x:v>875 g</x:v>
      </x:c>
      <x:c r="M28" s="12" t="str">
        <x:v>Produto</x:v>
      </x:c>
      <x:c r="N28" s="12" t="str">
        <x:v>pacote</x:v>
      </x:c>
      <x:c r="O28" s="12" t="n">
        <x:v>25</x:v>
      </x:c>
      <x:c r="P28" s="12" t="n">
        <x:v>50</x:v>
      </x:c>
      <x:c r="Q28" s="12" t="str">
        <x:v>25 a 50</x:v>
      </x:c>
      <x:c r="R28" s="16" t="n">
        <x:v>65</x:v>
      </x:c>
      <x:c r="S28" s="18" t="n">
        <x:v>0</x:v>
      </x:c>
      <x:c r="T28" s="16" t="n">
        <x:f>IF(R28="","",INT(R28*(1+IFERROR(S28,0))*100+0.5001)/100)</x:f>
        <x:v>65</x:v>
      </x:c>
      <x:c r="U28" s="16"/>
      <x:c r="V28" s="16" t="str">
        <x:f>IF(U28="","",U28-T28)</x:f>
      </x:c>
      <x:c r="W28" s="16"/>
      <x:c r="X28" s="16" t="n">
        <x:f>IF(W28&lt;&gt;"",W28,IF(U28&lt;&gt;"",U28,T28))</x:f>
        <x:v>65</x:v>
      </x:c>
      <x:c r="Y28" s="12"/>
      <x:c r="Z28" s="12"/>
      <x:c r="AA28" s="12" t="str">
        <x:v>Parcelamento em até 4x, com parcelas mínimas de R$ 500,00.</x:v>
      </x:c>
      <x:c r="AB28" s="12" t="str"/>
      <x:c r="AC28" s="12" t="str"/>
      <x:c r="AD28" s="12" t="str">
        <x:v>LP_Neonatos_Corte_07.2026.pdf</x:v>
      </x:c>
      <x:c r="AE28" s="12" t="str">
        <x:v>1</x:v>
      </x:c>
      <x:c r="AF28" s="14" t="n">
        <x:v>46211</x:v>
      </x:c>
      <x:c r="AG28" s="12" t="str"/>
      <x:c r="AH28" s="12" t="str">
        <x:f>F28&amp;"|"&amp;G28&amp;"|"&amp;H28&amp;"|"&amp;J28&amp;"|"&amp;Q28</x:f>
        <x:v>Neonatos|Corte|Produtor|744637|25 a 50</x:v>
      </x:c>
      <x:c r="AI28" s="12" t="str">
        <x:f>K28&amp;IF(L28&lt;&gt;""," ("&amp;L28&amp;")","")&amp;" — "&amp;Q28&amp;": R$ "&amp;ROUND(X28,2)&amp;" | "&amp;H28&amp;" | válido até "&amp;DAY(E28)&amp;"/"&amp;MONTH(E28)&amp;"/"&amp;YEAR(E28)</x:f>
        <x:v>AltaLYTE (875 g) — 25 a 50: R$ 65 | Produtor | válido até 5/8/2026</x:v>
      </x:c>
    </x:row>
    <x:row r="29">
      <x:c r="A29" s="12" t="str">
        <x:v>NEO-0028</x:v>
      </x:c>
      <x:c r="B29" s="12" t="str">
        <x:v>Ativo</x:v>
      </x:c>
      <x:c r="C29" s="12" t="str">
        <x:v>Julho/2026</x:v>
      </x:c>
      <x:c r="D29" s="14" t="n">
        <x:v>46204</x:v>
      </x:c>
      <x:c r="E29" s="14" t="n">
        <x:v>46239</x:v>
      </x:c>
      <x:c r="F29" s="12" t="str">
        <x:v>Neonatos</x:v>
      </x:c>
      <x:c r="G29" s="12" t="str">
        <x:v>Corte</x:v>
      </x:c>
      <x:c r="H29" s="12" t="str">
        <x:v>Produtor</x:v>
      </x:c>
      <x:c r="I29" s="12" t="str">
        <x:v>Venda regular</x:v>
      </x:c>
      <x:c r="J29" s="12" t="str">
        <x:v>744637</x:v>
      </x:c>
      <x:c r="K29" s="12" t="str">
        <x:v>AltaLYTE</x:v>
      </x:c>
      <x:c r="L29" s="12" t="str">
        <x:v>875 g</x:v>
      </x:c>
      <x:c r="M29" s="12" t="str">
        <x:v>Produto</x:v>
      </x:c>
      <x:c r="N29" s="12" t="str">
        <x:v>pacote</x:v>
      </x:c>
      <x:c r="O29" s="12" t="n">
        <x:v>51</x:v>
      </x:c>
      <x:c r="P29" s="12"/>
      <x:c r="Q29" s="12" t="str">
        <x:v>&gt; 50</x:v>
      </x:c>
      <x:c r="R29" s="16" t="n">
        <x:v>63</x:v>
      </x:c>
      <x:c r="S29" s="18" t="n">
        <x:v>0</x:v>
      </x:c>
      <x:c r="T29" s="16" t="n">
        <x:f>IF(R29="","",INT(R29*(1+IFERROR(S29,0))*100+0.5001)/100)</x:f>
        <x:v>63</x:v>
      </x:c>
      <x:c r="U29" s="16"/>
      <x:c r="V29" s="16" t="str">
        <x:f>IF(U29="","",U29-T29)</x:f>
      </x:c>
      <x:c r="W29" s="16"/>
      <x:c r="X29" s="16" t="n">
        <x:f>IF(W29&lt;&gt;"",W29,IF(U29&lt;&gt;"",U29,T29))</x:f>
        <x:v>63</x:v>
      </x:c>
      <x:c r="Y29" s="12"/>
      <x:c r="Z29" s="12"/>
      <x:c r="AA29" s="12" t="str">
        <x:v>Parcelamento em até 4x, com parcelas mínimas de R$ 500,00.</x:v>
      </x:c>
      <x:c r="AB29" s="12" t="str"/>
      <x:c r="AC29" s="12" t="str"/>
      <x:c r="AD29" s="12" t="str">
        <x:v>LP_Neonatos_Corte_07.2026.pdf</x:v>
      </x:c>
      <x:c r="AE29" s="12" t="str">
        <x:v>1</x:v>
      </x:c>
      <x:c r="AF29" s="14" t="n">
        <x:v>46211</x:v>
      </x:c>
      <x:c r="AG29" s="12" t="str"/>
      <x:c r="AH29" s="12" t="str">
        <x:f>F29&amp;"|"&amp;G29&amp;"|"&amp;H29&amp;"|"&amp;J29&amp;"|"&amp;Q29</x:f>
        <x:v>Neonatos|Corte|Produtor|744637|&gt; 50</x:v>
      </x:c>
      <x:c r="AI29" s="12" t="str">
        <x:f>K29&amp;IF(L29&lt;&gt;""," ("&amp;L29&amp;")","")&amp;" — "&amp;Q29&amp;": R$ "&amp;ROUND(X29,2)&amp;" | "&amp;H29&amp;" | válido até "&amp;DAY(E29)&amp;"/"&amp;MONTH(E29)&amp;"/"&amp;YEAR(E29)</x:f>
        <x:v>AltaLYTE (875 g) — &gt; 50: R$ 63 | Produtor | válido até 5/8/2026</x:v>
      </x:c>
    </x:row>
    <x:row r="30">
      <x:c r="A30" s="12" t="str">
        <x:v>NEO-0029</x:v>
      </x:c>
      <x:c r="B30" s="12" t="str">
        <x:v>Ativo</x:v>
      </x:c>
      <x:c r="C30" s="12" t="str">
        <x:v>Julho/2026</x:v>
      </x:c>
      <x:c r="D30" s="14" t="n">
        <x:v>46204</x:v>
      </x:c>
      <x:c r="E30" s="14" t="n">
        <x:v>46239</x:v>
      </x:c>
      <x:c r="F30" s="12" t="str">
        <x:v>Neonatos</x:v>
      </x:c>
      <x:c r="G30" s="12" t="str">
        <x:v>Corte</x:v>
      </x:c>
      <x:c r="H30" s="12" t="str">
        <x:v>Clientes especiais (Advantage/Alta CRIA)</x:v>
      </x:c>
      <x:c r="I30" s="12" t="str">
        <x:v>Clientes especiais</x:v>
      </x:c>
      <x:c r="J30" s="12" t="str">
        <x:v>746834</x:v>
      </x:c>
      <x:c r="K30" s="12" t="str">
        <x:v>SOS BEEF</x:v>
      </x:c>
      <x:c r="L30" s="12" t="str">
        <x:v>235 g</x:v>
      </x:c>
      <x:c r="M30" s="12" t="str">
        <x:v>Produto</x:v>
      </x:c>
      <x:c r="N30" s="12" t="str">
        <x:v>pacote</x:v>
      </x:c>
      <x:c r="O30" s="12" t="n">
        <x:v>8</x:v>
      </x:c>
      <x:c r="P30" s="12" t="n">
        <x:v>32</x:v>
      </x:c>
      <x:c r="Q30" s="12" t="str">
        <x:v>8 a 32</x:v>
      </x:c>
      <x:c r="R30" s="16" t="n">
        <x:v>189</x:v>
      </x:c>
      <x:c r="S30" s="18" t="n">
        <x:v>0</x:v>
      </x:c>
      <x:c r="T30" s="16" t="n">
        <x:f>IF(R30="","",INT(R30*(1+IFERROR(S30,0))*100+0.5001)/100)</x:f>
        <x:v>189</x:v>
      </x:c>
      <x:c r="U30" s="16"/>
      <x:c r="V30" s="16" t="str">
        <x:f>IF(U30="","",U30-T30)</x:f>
      </x:c>
      <x:c r="W30" s="16"/>
      <x:c r="X30" s="16" t="n">
        <x:f>IF(W30&lt;&gt;"",W30,IF(U30&lt;&gt;"",U30,T30))</x:f>
        <x:v>189</x:v>
      </x:c>
      <x:c r="Y30" s="12" t="n">
        <x:v>8</x:v>
      </x:c>
      <x:c r="Z30" s="12" t="n">
        <x:v>8</x:v>
      </x:c>
      <x:c r="AA30" s="12" t="str">
        <x:v>Parcelamento em até 4x, com parcelas mínimas de R$ 500,00.</x:v>
      </x:c>
      <x:c r="AB30" s="12" t="str">
        <x:v>Preço especial para clientes Advantage/Alta CRIA. Produto comercializado somente em múltiplos de 8 unidades.</x:v>
      </x:c>
      <x:c r="AC30" s="12" t="str"/>
      <x:c r="AD30" s="12" t="str">
        <x:v>LP_Neonatos_Corte_07.2026.pdf</x:v>
      </x:c>
      <x:c r="AE30" s="12" t="str">
        <x:v>2</x:v>
      </x:c>
      <x:c r="AF30" s="14" t="n">
        <x:v>46211</x:v>
      </x:c>
      <x:c r="AG30" s="12" t="str"/>
      <x:c r="AH30" s="12" t="str">
        <x:f>F30&amp;"|"&amp;G30&amp;"|"&amp;H30&amp;"|"&amp;J30&amp;"|"&amp;Q30</x:f>
        <x:v>Neonatos|Corte|Clientes especiais (Advantage/Alta CRIA)|746834|8 a 32</x:v>
      </x:c>
      <x:c r="AI30" s="12" t="str">
        <x:f>K30&amp;IF(L30&lt;&gt;""," ("&amp;L30&amp;")","")&amp;" — "&amp;Q30&amp;": R$ "&amp;ROUND(X30,2)&amp;" | "&amp;H30&amp;" | válido até "&amp;DAY(E30)&amp;"/"&amp;MONTH(E30)&amp;"/"&amp;YEAR(E30)</x:f>
        <x:v>SOS BEEF (235 g) — 8 a 32: R$ 189 | Clientes especiais (Advantage/Alta CRIA) | válido até 5/8/2026</x:v>
      </x:c>
    </x:row>
    <x:row r="31">
      <x:c r="A31" s="12" t="str">
        <x:v>NEO-0030</x:v>
      </x:c>
      <x:c r="B31" s="12" t="str">
        <x:v>Ativo</x:v>
      </x:c>
      <x:c r="C31" s="12" t="str">
        <x:v>Julho/2026</x:v>
      </x:c>
      <x:c r="D31" s="14" t="n">
        <x:v>46204</x:v>
      </x:c>
      <x:c r="E31" s="14" t="n">
        <x:v>46239</x:v>
      </x:c>
      <x:c r="F31" s="12" t="str">
        <x:v>Neonatos</x:v>
      </x:c>
      <x:c r="G31" s="12" t="str">
        <x:v>Corte</x:v>
      </x:c>
      <x:c r="H31" s="12" t="str">
        <x:v>Clientes especiais (Advantage/Alta CRIA)</x:v>
      </x:c>
      <x:c r="I31" s="12" t="str">
        <x:v>Clientes especiais</x:v>
      </x:c>
      <x:c r="J31" s="12" t="str">
        <x:v>746834</x:v>
      </x:c>
      <x:c r="K31" s="12" t="str">
        <x:v>SOS BEEF</x:v>
      </x:c>
      <x:c r="L31" s="12" t="str">
        <x:v>235 g</x:v>
      </x:c>
      <x:c r="M31" s="12" t="str">
        <x:v>Produto</x:v>
      </x:c>
      <x:c r="N31" s="12" t="str">
        <x:v>pacote</x:v>
      </x:c>
      <x:c r="O31" s="12" t="n">
        <x:v>33</x:v>
      </x:c>
      <x:c r="P31" s="12"/>
      <x:c r="Q31" s="12" t="str">
        <x:v>&gt; 32</x:v>
      </x:c>
      <x:c r="R31" s="16" t="n">
        <x:v>178</x:v>
      </x:c>
      <x:c r="S31" s="18" t="n">
        <x:v>0</x:v>
      </x:c>
      <x:c r="T31" s="16" t="n">
        <x:f>IF(R31="","",INT(R31*(1+IFERROR(S31,0))*100+0.5001)/100)</x:f>
        <x:v>178</x:v>
      </x:c>
      <x:c r="U31" s="16"/>
      <x:c r="V31" s="16" t="str">
        <x:f>IF(U31="","",U31-T31)</x:f>
      </x:c>
      <x:c r="W31" s="16"/>
      <x:c r="X31" s="16" t="n">
        <x:f>IF(W31&lt;&gt;"",W31,IF(U31&lt;&gt;"",U31,T31))</x:f>
        <x:v>178</x:v>
      </x:c>
      <x:c r="Y31" s="12" t="n">
        <x:v>8</x:v>
      </x:c>
      <x:c r="Z31" s="12" t="n">
        <x:v>8</x:v>
      </x:c>
      <x:c r="AA31" s="12" t="str">
        <x:v>Parcelamento em até 4x, com parcelas mínimas de R$ 500,00.</x:v>
      </x:c>
      <x:c r="AB31" s="12" t="str">
        <x:v>Preço especial para clientes Advantage/Alta CRIA. Produto comercializado somente em múltiplos de 8 unidades.</x:v>
      </x:c>
      <x:c r="AC31" s="12" t="str"/>
      <x:c r="AD31" s="12" t="str">
        <x:v>LP_Neonatos_Corte_07.2026.pdf</x:v>
      </x:c>
      <x:c r="AE31" s="12" t="str">
        <x:v>2</x:v>
      </x:c>
      <x:c r="AF31" s="14" t="n">
        <x:v>46211</x:v>
      </x:c>
      <x:c r="AG31" s="12" t="str"/>
      <x:c r="AH31" s="12" t="str">
        <x:f>F31&amp;"|"&amp;G31&amp;"|"&amp;H31&amp;"|"&amp;J31&amp;"|"&amp;Q31</x:f>
        <x:v>Neonatos|Corte|Clientes especiais (Advantage/Alta CRIA)|746834|&gt; 32</x:v>
      </x:c>
      <x:c r="AI31" s="12" t="str">
        <x:f>K31&amp;IF(L31&lt;&gt;""," ("&amp;L31&amp;")","")&amp;" — "&amp;Q31&amp;": R$ "&amp;ROUND(X31,2)&amp;" | "&amp;H31&amp;" | válido até "&amp;DAY(E31)&amp;"/"&amp;MONTH(E31)&amp;"/"&amp;YEAR(E31)</x:f>
        <x:v>SOS BEEF (235 g) — &gt; 32: R$ 178 | Clientes especiais (Advantage/Alta CRIA) | válido até 5/8/2026</x:v>
      </x:c>
    </x:row>
    <x:row r="32">
      <x:c r="A32" s="12" t="str">
        <x:v>NEO-0031</x:v>
      </x:c>
      <x:c r="B32" s="12" t="str">
        <x:v>Ativo</x:v>
      </x:c>
      <x:c r="C32" s="12" t="str">
        <x:v>Julho/2026</x:v>
      </x:c>
      <x:c r="D32" s="14" t="n">
        <x:v>46204</x:v>
      </x:c>
      <x:c r="E32" s="14" t="n">
        <x:v>46239</x:v>
      </x:c>
      <x:c r="F32" s="12" t="str">
        <x:v>Neonatos</x:v>
      </x:c>
      <x:c r="G32" s="12" t="str">
        <x:v>Corte</x:v>
      </x:c>
      <x:c r="H32" s="12" t="str">
        <x:v>Clientes especiais (Advantage/Alta CRIA)</x:v>
      </x:c>
      <x:c r="I32" s="12" t="str">
        <x:v>Clientes especiais</x:v>
      </x:c>
      <x:c r="J32" s="12" t="str">
        <x:v>744637</x:v>
      </x:c>
      <x:c r="K32" s="12" t="str">
        <x:v>AltaLYTE</x:v>
      </x:c>
      <x:c r="L32" s="12" t="str">
        <x:v>875 g</x:v>
      </x:c>
      <x:c r="M32" s="12" t="str">
        <x:v>Produto</x:v>
      </x:c>
      <x:c r="N32" s="12" t="str">
        <x:v>pacote</x:v>
      </x:c>
      <x:c r="O32" s="12" t="n">
        <x:v>5</x:v>
      </x:c>
      <x:c r="P32" s="12" t="n">
        <x:v>50</x:v>
      </x:c>
      <x:c r="Q32" s="12" t="str">
        <x:v>5 a 50</x:v>
      </x:c>
      <x:c r="R32" s="16" t="n">
        <x:v>60</x:v>
      </x:c>
      <x:c r="S32" s="18" t="n">
        <x:v>0</x:v>
      </x:c>
      <x:c r="T32" s="16" t="n">
        <x:f>IF(R32="","",INT(R32*(1+IFERROR(S32,0))*100+0.5001)/100)</x:f>
        <x:v>60</x:v>
      </x:c>
      <x:c r="U32" s="16"/>
      <x:c r="V32" s="16" t="str">
        <x:f>IF(U32="","",U32-T32)</x:f>
      </x:c>
      <x:c r="W32" s="16"/>
      <x:c r="X32" s="16" t="n">
        <x:f>IF(W32&lt;&gt;"",W32,IF(U32&lt;&gt;"",U32,T32))</x:f>
        <x:v>60</x:v>
      </x:c>
      <x:c r="Y32" s="12"/>
      <x:c r="Z32" s="12"/>
      <x:c r="AA32" s="12" t="str">
        <x:v>Parcelamento em até 4x, com parcelas mínimas de R$ 500,00.</x:v>
      </x:c>
      <x:c r="AB32" s="12" t="str">
        <x:v>Preço especial para clientes Advantage/Alta CRIA.</x:v>
      </x:c>
      <x:c r="AC32" s="12" t="str"/>
      <x:c r="AD32" s="12" t="str">
        <x:v>LP_Neonatos_Corte_07.2026.pdf</x:v>
      </x:c>
      <x:c r="AE32" s="12" t="str">
        <x:v>2</x:v>
      </x:c>
      <x:c r="AF32" s="14" t="n">
        <x:v>46211</x:v>
      </x:c>
      <x:c r="AG32" s="12" t="str"/>
      <x:c r="AH32" s="12" t="str">
        <x:f>F32&amp;"|"&amp;G32&amp;"|"&amp;H32&amp;"|"&amp;J32&amp;"|"&amp;Q32</x:f>
        <x:v>Neonatos|Corte|Clientes especiais (Advantage/Alta CRIA)|744637|5 a 50</x:v>
      </x:c>
      <x:c r="AI32" s="12" t="str">
        <x:f>K32&amp;IF(L32&lt;&gt;""," ("&amp;L32&amp;")","")&amp;" — "&amp;Q32&amp;": R$ "&amp;ROUND(X32,2)&amp;" | "&amp;H32&amp;" | válido até "&amp;DAY(E32)&amp;"/"&amp;MONTH(E32)&amp;"/"&amp;YEAR(E32)</x:f>
        <x:v>AltaLYTE (875 g) — 5 a 50: R$ 60 | Clientes especiais (Advantage/Alta CRIA) | válido até 5/8/2026</x:v>
      </x:c>
    </x:row>
    <x:row r="33">
      <x:c r="A33" s="12" t="str">
        <x:v>NEO-0032</x:v>
      </x:c>
      <x:c r="B33" s="12" t="str">
        <x:v>Ativo</x:v>
      </x:c>
      <x:c r="C33" s="12" t="str">
        <x:v>Julho/2026</x:v>
      </x:c>
      <x:c r="D33" s="14" t="n">
        <x:v>46204</x:v>
      </x:c>
      <x:c r="E33" s="14" t="n">
        <x:v>46239</x:v>
      </x:c>
      <x:c r="F33" s="12" t="str">
        <x:v>Neonatos</x:v>
      </x:c>
      <x:c r="G33" s="12" t="str">
        <x:v>Corte</x:v>
      </x:c>
      <x:c r="H33" s="12" t="str">
        <x:v>Clientes especiais (Advantage/Alta CRIA)</x:v>
      </x:c>
      <x:c r="I33" s="12" t="str">
        <x:v>Clientes especiais</x:v>
      </x:c>
      <x:c r="J33" s="12" t="str">
        <x:v>744637</x:v>
      </x:c>
      <x:c r="K33" s="12" t="str">
        <x:v>AltaLYTE</x:v>
      </x:c>
      <x:c r="L33" s="12" t="str">
        <x:v>875 g</x:v>
      </x:c>
      <x:c r="M33" s="12" t="str">
        <x:v>Produto</x:v>
      </x:c>
      <x:c r="N33" s="12" t="str">
        <x:v>pacote</x:v>
      </x:c>
      <x:c r="O33" s="12" t="n">
        <x:v>51</x:v>
      </x:c>
      <x:c r="P33" s="12"/>
      <x:c r="Q33" s="12" t="str">
        <x:v>&gt; 50</x:v>
      </x:c>
      <x:c r="R33" s="16" t="n">
        <x:v>58</x:v>
      </x:c>
      <x:c r="S33" s="18" t="n">
        <x:v>0</x:v>
      </x:c>
      <x:c r="T33" s="16" t="n">
        <x:f>IF(R33="","",INT(R33*(1+IFERROR(S33,0))*100+0.5001)/100)</x:f>
        <x:v>58</x:v>
      </x:c>
      <x:c r="U33" s="16"/>
      <x:c r="V33" s="16" t="str">
        <x:f>IF(U33="","",U33-T33)</x:f>
      </x:c>
      <x:c r="W33" s="16"/>
      <x:c r="X33" s="16" t="n">
        <x:f>IF(W33&lt;&gt;"",W33,IF(U33&lt;&gt;"",U33,T33))</x:f>
        <x:v>58</x:v>
      </x:c>
      <x:c r="Y33" s="12"/>
      <x:c r="Z33" s="12"/>
      <x:c r="AA33" s="12" t="str">
        <x:v>Parcelamento em até 4x, com parcelas mínimas de R$ 500,00.</x:v>
      </x:c>
      <x:c r="AB33" s="12" t="str">
        <x:v>Preço especial para clientes Advantage/Alta CRIA.</x:v>
      </x:c>
      <x:c r="AC33" s="12" t="str"/>
      <x:c r="AD33" s="12" t="str">
        <x:v>LP_Neonatos_Corte_07.2026.pdf</x:v>
      </x:c>
      <x:c r="AE33" s="12" t="str">
        <x:v>2</x:v>
      </x:c>
      <x:c r="AF33" s="14" t="n">
        <x:v>46211</x:v>
      </x:c>
      <x:c r="AG33" s="12" t="str"/>
      <x:c r="AH33" s="12" t="str">
        <x:f>F33&amp;"|"&amp;G33&amp;"|"&amp;H33&amp;"|"&amp;J33&amp;"|"&amp;Q33</x:f>
        <x:v>Neonatos|Corte|Clientes especiais (Advantage/Alta CRIA)|744637|&gt; 50</x:v>
      </x:c>
      <x:c r="AI33" s="12" t="str">
        <x:f>K33&amp;IF(L33&lt;&gt;""," ("&amp;L33&amp;")","")&amp;" — "&amp;Q33&amp;": R$ "&amp;ROUND(X33,2)&amp;" | "&amp;H33&amp;" | válido até "&amp;DAY(E33)&amp;"/"&amp;MONTH(E33)&amp;"/"&amp;YEAR(E33)</x:f>
        <x:v>AltaLYTE (875 g) — &gt; 50: R$ 58 | Clientes especiais (Advantage/Alta CRIA) | válido até 5/8/2026</x:v>
      </x:c>
    </x:row>
    <x:row r="34">
      <x:c r="A34" s="12" t="str">
        <x:v>NEO-0033</x:v>
      </x:c>
      <x:c r="B34" s="12" t="str">
        <x:v>Ativo</x:v>
      </x:c>
      <x:c r="C34" s="12" t="str">
        <x:v>Julho/2026</x:v>
      </x:c>
      <x:c r="D34" s="14" t="n">
        <x:v>46204</x:v>
      </x:c>
      <x:c r="E34" s="14" t="n">
        <x:v>46239</x:v>
      </x:c>
      <x:c r="F34" s="12" t="str">
        <x:v>Neonatos</x:v>
      </x:c>
      <x:c r="G34" s="12" t="str">
        <x:v>Corte</x:v>
      </x:c>
      <x:c r="H34" s="12" t="str">
        <x:v>Todos</x:v>
      </x:c>
      <x:c r="I34" s="12" t="str">
        <x:v>Acessórios</x:v>
      </x:c>
      <x:c r="J34" s="12" t="str">
        <x:v>701017</x:v>
      </x:c>
      <x:c r="K34" s="12" t="str">
        <x:v>Bico excedente (específico mamadeira Alta)</x:v>
      </x:c>
      <x:c r="L34" s="12" t="str"/>
      <x:c r="M34" s="12" t="str">
        <x:v>Acessório</x:v>
      </x:c>
      <x:c r="N34" s="12" t="str">
        <x:v>unidade</x:v>
      </x:c>
      <x:c r="O34" s="12" t="n">
        <x:v>1</x:v>
      </x:c>
      <x:c r="P34" s="12"/>
      <x:c r="Q34" s="12" t="str">
        <x:v>unidade</x:v>
      </x:c>
      <x:c r="R34" s="16" t="n">
        <x:v>27</x:v>
      </x:c>
      <x:c r="S34" s="18" t="n">
        <x:v>0.0975</x:v>
      </x:c>
      <x:c r="T34" s="16" t="n">
        <x:f>IF(R34="","",INT(R34*(1+IFERROR(S34,0))*100+0.5001)/100)</x:f>
        <x:v>29.63</x:v>
      </x:c>
      <x:c r="U34" s="16" t="n">
        <x:v>29.63</x:v>
      </x:c>
      <x:c r="V34" s="16" t="n">
        <x:f>IF(U34="","",U34-T34)</x:f>
        <x:v>0</x:v>
      </x:c>
      <x:c r="W34" s="16"/>
      <x:c r="X34" s="16" t="n">
        <x:f>IF(W34&lt;&gt;"",W34,IF(U34&lt;&gt;"",U34,T34))</x:f>
        <x:v>29.63</x:v>
      </x:c>
      <x:c r="Y34" s="12"/>
      <x:c r="Z34" s="12"/>
      <x:c r="AA34" s="12" t="str">
        <x:v>Parcelamento em até 4x, com parcelas mínimas de R$ 500,00.</x:v>
      </x:c>
      <x:c r="AB34" s="12" t="str"/>
      <x:c r="AC34" s="12" t="str"/>
      <x:c r="AD34" s="12" t="str">
        <x:v>LP_Neonatos_Corte_07.2026.pdf</x:v>
      </x:c>
      <x:c r="AE34" s="12" t="str">
        <x:v>1</x:v>
      </x:c>
      <x:c r="AF34" s="14" t="n">
        <x:v>46211</x:v>
      </x:c>
      <x:c r="AG34" s="12" t="str"/>
      <x:c r="AH34" s="12" t="str">
        <x:f>F34&amp;"|"&amp;G34&amp;"|"&amp;H34&amp;"|"&amp;J34&amp;"|"&amp;Q34</x:f>
        <x:v>Neonatos|Corte|Todos|701017|unidade</x:v>
      </x:c>
      <x:c r="AI34" s="12" t="str">
        <x:f>K34&amp;IF(L34&lt;&gt;""," ("&amp;L34&amp;")","")&amp;" — "&amp;Q34&amp;": R$ "&amp;ROUND(X34,2)&amp;" | "&amp;H34&amp;" | válido até "&amp;DAY(E34)&amp;"/"&amp;MONTH(E34)&amp;"/"&amp;YEAR(E34)</x:f>
        <x:v>Bico excedente (específico mamadeira Alta) — unidade: R$ 29.63 | Todos | válido até 5/8/2026</x:v>
      </x:c>
    </x:row>
    <x:row r="35">
      <x:c r="A35" s="12" t="str">
        <x:v>NEO-0034</x:v>
      </x:c>
      <x:c r="B35" s="12" t="str">
        <x:v>Ativo</x:v>
      </x:c>
      <x:c r="C35" s="12" t="str">
        <x:v>Julho/2026</x:v>
      </x:c>
      <x:c r="D35" s="14" t="n">
        <x:v>46204</x:v>
      </x:c>
      <x:c r="E35" s="14" t="n">
        <x:v>46239</x:v>
      </x:c>
      <x:c r="F35" s="12" t="str">
        <x:v>Neonatos</x:v>
      </x:c>
      <x:c r="G35" s="12" t="str">
        <x:v>Corte</x:v>
      </x:c>
      <x:c r="H35" s="12" t="str">
        <x:v>Todos</x:v>
      </x:c>
      <x:c r="I35" s="12" t="str">
        <x:v>Acessórios</x:v>
      </x:c>
      <x:c r="J35" s="12" t="str">
        <x:v>755009</x:v>
      </x:c>
      <x:c r="K35" s="12" t="str">
        <x:v>Bico para SOS Beef</x:v>
      </x:c>
      <x:c r="L35" s="12" t="str"/>
      <x:c r="M35" s="12" t="str">
        <x:v>Acessório</x:v>
      </x:c>
      <x:c r="N35" s="12" t="str">
        <x:v>unidade</x:v>
      </x:c>
      <x:c r="O35" s="12" t="n">
        <x:v>1</x:v>
      </x:c>
      <x:c r="P35" s="12"/>
      <x:c r="Q35" s="12" t="str">
        <x:v>unidade</x:v>
      </x:c>
      <x:c r="R35" s="16" t="n">
        <x:v>21</x:v>
      </x:c>
      <x:c r="S35" s="18" t="n">
        <x:v>0.0975</x:v>
      </x:c>
      <x:c r="T35" s="16" t="n">
        <x:f>IF(R35="","",INT(R35*(1+IFERROR(S35,0))*100+0.5001)/100)</x:f>
        <x:v>23.05</x:v>
      </x:c>
      <x:c r="U35" s="16" t="n">
        <x:v>23.05</x:v>
      </x:c>
      <x:c r="V35" s="16" t="n">
        <x:f>IF(U35="","",U35-T35)</x:f>
        <x:v>0</x:v>
      </x:c>
      <x:c r="W35" s="16"/>
      <x:c r="X35" s="16" t="n">
        <x:f>IF(W35&lt;&gt;"",W35,IF(U35&lt;&gt;"",U35,T35))</x:f>
        <x:v>23.05</x:v>
      </x:c>
      <x:c r="Y35" s="12"/>
      <x:c r="Z35" s="12"/>
      <x:c r="AA35" s="12" t="str">
        <x:v>Parcelamento em até 4x, com parcelas mínimas de R$ 500,00.</x:v>
      </x:c>
      <x:c r="AB35" s="12" t="str"/>
      <x:c r="AC35" s="12" t="str"/>
      <x:c r="AD35" s="12" t="str">
        <x:v>LP_Neonatos_Corte_07.2026.pdf</x:v>
      </x:c>
      <x:c r="AE35" s="12" t="str">
        <x:v>1</x:v>
      </x:c>
      <x:c r="AF35" s="14" t="n">
        <x:v>46211</x:v>
      </x:c>
      <x:c r="AG35" s="12" t="str"/>
      <x:c r="AH35" s="12" t="str">
        <x:f>F35&amp;"|"&amp;G35&amp;"|"&amp;H35&amp;"|"&amp;J35&amp;"|"&amp;Q35</x:f>
        <x:v>Neonatos|Corte|Todos|755009|unidade</x:v>
      </x:c>
      <x:c r="AI35" s="12" t="str">
        <x:f>K35&amp;IF(L35&lt;&gt;""," ("&amp;L35&amp;")","")&amp;" — "&amp;Q35&amp;": R$ "&amp;ROUND(X35,2)&amp;" | "&amp;H35&amp;" | válido até "&amp;DAY(E35)&amp;"/"&amp;MONTH(E35)&amp;"/"&amp;YEAR(E35)</x:f>
        <x:v>Bico para SOS Beef — unidade: R$ 23.05 | Todos | válido até 5/8/2026</x:v>
      </x:c>
    </x:row>
    <x:row r="36">
      <x:c r="A36" s="12" t="str">
        <x:v>NEO-0035</x:v>
      </x:c>
      <x:c r="B36" s="12" t="str">
        <x:v>Ativo</x:v>
      </x:c>
      <x:c r="C36" s="12" t="str">
        <x:v>Julho/2026</x:v>
      </x:c>
      <x:c r="D36" s="14" t="n">
        <x:v>46204</x:v>
      </x:c>
      <x:c r="E36" s="14" t="n">
        <x:v>46239</x:v>
      </x:c>
      <x:c r="F36" s="12" t="str">
        <x:v>Neonatos</x:v>
      </x:c>
      <x:c r="G36" s="12" t="str">
        <x:v>Corte</x:v>
      </x:c>
      <x:c r="H36" s="12" t="str">
        <x:v>Todos</x:v>
      </x:c>
      <x:c r="I36" s="12" t="str">
        <x:v>Acessórios</x:v>
      </x:c>
      <x:c r="J36" s="12" t="str">
        <x:v>701011</x:v>
      </x:c>
      <x:c r="K36" s="12" t="str">
        <x:v>Mamadeira Alta para bezerros</x:v>
      </x:c>
      <x:c r="L36" s="12" t="str"/>
      <x:c r="M36" s="12" t="str">
        <x:v>Acessório</x:v>
      </x:c>
      <x:c r="N36" s="12" t="str">
        <x:v>unidade</x:v>
      </x:c>
      <x:c r="O36" s="12" t="n">
        <x:v>1</x:v>
      </x:c>
      <x:c r="P36" s="12"/>
      <x:c r="Q36" s="12" t="str">
        <x:v>unidade</x:v>
      </x:c>
      <x:c r="R36" s="16" t="n">
        <x:v>130</x:v>
      </x:c>
      <x:c r="S36" s="18" t="n">
        <x:v>0.0975</x:v>
      </x:c>
      <x:c r="T36" s="16" t="n">
        <x:f>IF(R36="","",INT(R36*(1+IFERROR(S36,0))*100+0.5001)/100)</x:f>
        <x:v>142.68</x:v>
      </x:c>
      <x:c r="U36" s="16" t="n">
        <x:v>142.68</x:v>
      </x:c>
      <x:c r="V36" s="16" t="n">
        <x:f>IF(U36="","",U36-T36)</x:f>
        <x:v>0</x:v>
      </x:c>
      <x:c r="W36" s="16"/>
      <x:c r="X36" s="16" t="n">
        <x:f>IF(W36&lt;&gt;"",W36,IF(U36&lt;&gt;"",U36,T36))</x:f>
        <x:v>142.68</x:v>
      </x:c>
      <x:c r="Y36" s="12"/>
      <x:c r="Z36" s="12"/>
      <x:c r="AA36" s="12" t="str">
        <x:v>Parcelamento em até 4x, com parcelas mínimas de R$ 500,00.</x:v>
      </x:c>
      <x:c r="AB36" s="12" t="str"/>
      <x:c r="AC36" s="12" t="str"/>
      <x:c r="AD36" s="12" t="str">
        <x:v>LP_Neonatos_Corte_07.2026.pdf</x:v>
      </x:c>
      <x:c r="AE36" s="12" t="str">
        <x:v>1</x:v>
      </x:c>
      <x:c r="AF36" s="14" t="n">
        <x:v>46211</x:v>
      </x:c>
      <x:c r="AG36" s="12" t="str"/>
      <x:c r="AH36" s="12" t="str">
        <x:f>F36&amp;"|"&amp;G36&amp;"|"&amp;H36&amp;"|"&amp;J36&amp;"|"&amp;Q36</x:f>
        <x:v>Neonatos|Corte|Todos|701011|unidade</x:v>
      </x:c>
      <x:c r="AI36" s="12" t="str">
        <x:f>K36&amp;IF(L36&lt;&gt;""," ("&amp;L36&amp;")","")&amp;" — "&amp;Q36&amp;": R$ "&amp;ROUND(X36,2)&amp;" | "&amp;H36&amp;" | válido até "&amp;DAY(E36)&amp;"/"&amp;MONTH(E36)&amp;"/"&amp;YEAR(E36)</x:f>
        <x:v>Mamadeira Alta para bezerros — unidade: R$ 142.68 | Todos | válido até 5/8/2026</x:v>
      </x:c>
    </x:row>
    <x:row r="37">
      <x:c r="A37" s="12" t="str">
        <x:v>NEO-0036</x:v>
      </x:c>
      <x:c r="B37" s="12" t="str">
        <x:v>Ativo</x:v>
      </x:c>
      <x:c r="C37" s="12" t="str">
        <x:v>Julho/2026</x:v>
      </x:c>
      <x:c r="D37" s="14" t="n">
        <x:v>46204</x:v>
      </x:c>
      <x:c r="E37" s="14" t="n">
        <x:v>46239</x:v>
      </x:c>
      <x:c r="F37" s="12" t="str">
        <x:v>Neonatos</x:v>
      </x:c>
      <x:c r="G37" s="12" t="str">
        <x:v>Corte</x:v>
      </x:c>
      <x:c r="H37" s="12" t="str">
        <x:v>Todos</x:v>
      </x:c>
      <x:c r="I37" s="12" t="str">
        <x:v>Acessórios</x:v>
      </x:c>
      <x:c r="J37" s="12" t="str">
        <x:v>715349</x:v>
      </x:c>
      <x:c r="K37" s="12" t="str">
        <x:v>Sonda esofágica Alta</x:v>
      </x:c>
      <x:c r="L37" s="12" t="str"/>
      <x:c r="M37" s="12" t="str">
        <x:v>Acessório</x:v>
      </x:c>
      <x:c r="N37" s="12" t="str">
        <x:v>unidade</x:v>
      </x:c>
      <x:c r="O37" s="12" t="n">
        <x:v>1</x:v>
      </x:c>
      <x:c r="P37" s="12"/>
      <x:c r="Q37" s="12" t="str">
        <x:v>unidade</x:v>
      </x:c>
      <x:c r="R37" s="16" t="n">
        <x:v>440</x:v>
      </x:c>
      <x:c r="S37" s="18" t="n">
        <x:v>0.0975</x:v>
      </x:c>
      <x:c r="T37" s="16" t="n">
        <x:f>IF(R37="","",INT(R37*(1+IFERROR(S37,0))*100+0.5001)/100)</x:f>
        <x:v>482.9</x:v>
      </x:c>
      <x:c r="U37" s="16" t="n">
        <x:v>482.9</x:v>
      </x:c>
      <x:c r="V37" s="16" t="n">
        <x:f>IF(U37="","",U37-T37)</x:f>
        <x:v>0</x:v>
      </x:c>
      <x:c r="W37" s="16"/>
      <x:c r="X37" s="16" t="n">
        <x:f>IF(W37&lt;&gt;"",W37,IF(U37&lt;&gt;"",U37,T37))</x:f>
        <x:v>482.9</x:v>
      </x:c>
      <x:c r="Y37" s="12"/>
      <x:c r="Z37" s="12"/>
      <x:c r="AA37" s="12" t="str">
        <x:v>Parcelamento em até 4x, com parcelas mínimas de R$ 500,00.</x:v>
      </x:c>
      <x:c r="AB37" s="12" t="str"/>
      <x:c r="AC37" s="12" t="str"/>
      <x:c r="AD37" s="12" t="str">
        <x:v>LP_Neonatos_Corte_07.2026.pdf</x:v>
      </x:c>
      <x:c r="AE37" s="12" t="str">
        <x:v>1</x:v>
      </x:c>
      <x:c r="AF37" s="14" t="n">
        <x:v>46211</x:v>
      </x:c>
      <x:c r="AG37" s="12" t="str"/>
      <x:c r="AH37" s="12" t="str">
        <x:f>F37&amp;"|"&amp;G37&amp;"|"&amp;H37&amp;"|"&amp;J37&amp;"|"&amp;Q37</x:f>
        <x:v>Neonatos|Corte|Todos|715349|unidade</x:v>
      </x:c>
      <x:c r="AI37" s="12" t="str">
        <x:f>K37&amp;IF(L37&lt;&gt;""," ("&amp;L37&amp;")","")&amp;" — "&amp;Q37&amp;": R$ "&amp;ROUND(X37,2)&amp;" | "&amp;H37&amp;" | válido até "&amp;DAY(E37)&amp;"/"&amp;MONTH(E37)&amp;"/"&amp;YEAR(E37)</x:f>
        <x:v>Sonda esofágica Alta — unidade: R$ 482.9 | Todos | válido até 5/8/2026</x:v>
      </x:c>
    </x:row>
    <x:row r="38">
      <x:c r="A38" s="12" t="str">
        <x:v>NEO-0037</x:v>
      </x:c>
      <x:c r="B38" s="12" t="str">
        <x:v>Ativo</x:v>
      </x:c>
      <x:c r="C38" s="12" t="str">
        <x:v>Julho/2026</x:v>
      </x:c>
      <x:c r="D38" s="14" t="n">
        <x:v>46204</x:v>
      </x:c>
      <x:c r="E38" s="14" t="n">
        <x:v>46239</x:v>
      </x:c>
      <x:c r="F38" s="12" t="str">
        <x:v>Neonatos</x:v>
      </x:c>
      <x:c r="G38" s="12" t="str">
        <x:v>Corte</x:v>
      </x:c>
      <x:c r="H38" s="12" t="str">
        <x:v>Todos</x:v>
      </x:c>
      <x:c r="I38" s="12" t="str">
        <x:v>Acessórios</x:v>
      </x:c>
      <x:c r="J38" s="12" t="str">
        <x:v>755010</x:v>
      </x:c>
      <x:c r="K38" s="12" t="str">
        <x:v>Sonda para SOS Beef</x:v>
      </x:c>
      <x:c r="L38" s="12" t="str"/>
      <x:c r="M38" s="12" t="str">
        <x:v>Acessório</x:v>
      </x:c>
      <x:c r="N38" s="12" t="str">
        <x:v>unidade</x:v>
      </x:c>
      <x:c r="O38" s="12" t="n">
        <x:v>1</x:v>
      </x:c>
      <x:c r="P38" s="12"/>
      <x:c r="Q38" s="12" t="str">
        <x:v>unidade</x:v>
      </x:c>
      <x:c r="R38" s="16" t="n">
        <x:v>21</x:v>
      </x:c>
      <x:c r="S38" s="18" t="n">
        <x:v>0.0325</x:v>
      </x:c>
      <x:c r="T38" s="16" t="n">
        <x:f>IF(R38="","",INT(R38*(1+IFERROR(S38,0))*100+0.5001)/100)</x:f>
        <x:v>21.68</x:v>
      </x:c>
      <x:c r="U38" s="16" t="n">
        <x:v>21.68</x:v>
      </x:c>
      <x:c r="V38" s="16" t="n">
        <x:f>IF(U38="","",U38-T38)</x:f>
        <x:v>0</x:v>
      </x:c>
      <x:c r="W38" s="16"/>
      <x:c r="X38" s="16" t="n">
        <x:f>IF(W38&lt;&gt;"",W38,IF(U38&lt;&gt;"",U38,T38))</x:f>
        <x:v>21.68</x:v>
      </x:c>
      <x:c r="Y38" s="12"/>
      <x:c r="Z38" s="12"/>
      <x:c r="AA38" s="12" t="str">
        <x:v>Parcelamento em até 4x, com parcelas mínimas de R$ 500,00.</x:v>
      </x:c>
      <x:c r="AB38" s="12" t="str"/>
      <x:c r="AC38" s="12" t="str"/>
      <x:c r="AD38" s="12" t="str">
        <x:v>LP_Neonatos_Corte_07.2026.pdf</x:v>
      </x:c>
      <x:c r="AE38" s="12" t="str">
        <x:v>1</x:v>
      </x:c>
      <x:c r="AF38" s="14" t="n">
        <x:v>46211</x:v>
      </x:c>
      <x:c r="AG38" s="12" t="str"/>
      <x:c r="AH38" s="12" t="str">
        <x:f>F38&amp;"|"&amp;G38&amp;"|"&amp;H38&amp;"|"&amp;J38&amp;"|"&amp;Q38</x:f>
        <x:v>Neonatos|Corte|Todos|755010|unidade</x:v>
      </x:c>
      <x:c r="AI38" s="12" t="str">
        <x:f>K38&amp;IF(L38&lt;&gt;""," ("&amp;L38&amp;")","")&amp;" — "&amp;Q38&amp;": R$ "&amp;ROUND(X38,2)&amp;" | "&amp;H38&amp;" | válido até "&amp;DAY(E38)&amp;"/"&amp;MONTH(E38)&amp;"/"&amp;YEAR(E38)</x:f>
        <x:v>Sonda para SOS Beef — unidade: R$ 21.68 | Todos | válido até 5/8/2026</x:v>
      </x:c>
    </x:row>
    <x:row r="39">
      <x:c r="A39" s="12" t="str">
        <x:v>NEO-0038</x:v>
      </x:c>
      <x:c r="B39" s="12" t="str">
        <x:v>Ativo</x:v>
      </x:c>
      <x:c r="C39" s="12" t="str">
        <x:v>Julho/2026</x:v>
      </x:c>
      <x:c r="D39" s="14" t="n">
        <x:v>46204</x:v>
      </x:c>
      <x:c r="E39" s="14" t="n">
        <x:v>46239</x:v>
      </x:c>
      <x:c r="F39" s="12" t="str">
        <x:v>Neonatos</x:v>
      </x:c>
      <x:c r="G39" s="12" t="str">
        <x:v>Revenda</x:v>
      </x:c>
      <x:c r="H39" s="12" t="str">
        <x:v>Revendedor</x:v>
      </x:c>
      <x:c r="I39" s="12" t="str">
        <x:v>Revenda</x:v>
      </x:c>
      <x:c r="J39" s="12" t="str">
        <x:v>X0092</x:v>
      </x:c>
      <x:c r="K39" s="12" t="str">
        <x:v>Colostro Bovino em Pó</x:v>
      </x:c>
      <x:c r="L39" s="12" t="str">
        <x:v>470 g</x:v>
      </x:c>
      <x:c r="M39" s="12" t="str">
        <x:v>Produto</x:v>
      </x:c>
      <x:c r="N39" s="12" t="str">
        <x:v>unidade</x:v>
      </x:c>
      <x:c r="O39" s="12" t="n">
        <x:v>50</x:v>
      </x:c>
      <x:c r="P39" s="12" t="n">
        <x:v>400</x:v>
      </x:c>
      <x:c r="Q39" s="12" t="str">
        <x:v>50 a 400</x:v>
      </x:c>
      <x:c r="R39" s="16" t="n">
        <x:v>252</x:v>
      </x:c>
      <x:c r="S39" s="18" t="n">
        <x:v>0</x:v>
      </x:c>
      <x:c r="T39" s="16" t="n">
        <x:f>IF(R39="","",INT(R39*(1+IFERROR(S39,0))*100+0.5001)/100)</x:f>
        <x:v>252</x:v>
      </x:c>
      <x:c r="U39" s="16"/>
      <x:c r="V39" s="16" t="str">
        <x:f>IF(U39="","",U39-T39)</x:f>
      </x:c>
      <x:c r="W39" s="16"/>
      <x:c r="X39" s="16" t="n">
        <x:f>IF(W39&lt;&gt;"",W39,IF(U39&lt;&gt;"",U39,T39))</x:f>
        <x:v>252</x:v>
      </x:c>
      <x:c r="Y39" s="12"/>
      <x:c r="Z39" s="12" t="n">
        <x:v>50</x:v>
      </x:c>
      <x:c r="AA39" s="12" t="str">
        <x:v>Parcelamento em até 4x, com parcelas mínimas de R$ 500,00.</x:v>
      </x:c>
      <x:c r="AB39" s="12" t="str">
        <x:v>Compra mínima de 50 unidades. Preço por unidade. Compra mínima conforme produto.</x:v>
      </x:c>
      <x:c r="AC39" s="12" t="str"/>
      <x:c r="AD39" s="12" t="str">
        <x:v>Lista_Revenda_07_2026.pdf</x:v>
      </x:c>
      <x:c r="AE39" s="12" t="str">
        <x:v>1</x:v>
      </x:c>
      <x:c r="AF39" s="14" t="n">
        <x:v>46211</x:v>
      </x:c>
      <x:c r="AG39" s="12" t="str"/>
      <x:c r="AH39" s="12" t="str">
        <x:f>F39&amp;"|"&amp;G39&amp;"|"&amp;H39&amp;"|"&amp;J39&amp;"|"&amp;Q39</x:f>
        <x:v>Neonatos|Revenda|Revendedor|X0092|50 a 400</x:v>
      </x:c>
      <x:c r="AI39" s="12" t="str">
        <x:f>K39&amp;IF(L39&lt;&gt;""," ("&amp;L39&amp;")","")&amp;" — "&amp;Q39&amp;": R$ "&amp;ROUND(X39,2)&amp;" | "&amp;H39&amp;" | válido até "&amp;DAY(E39)&amp;"/"&amp;MONTH(E39)&amp;"/"&amp;YEAR(E39)</x:f>
        <x:v>Colostro Bovino em Pó (470 g) — 50 a 400: R$ 252 | Revendedor | válido até 5/8/2026</x:v>
      </x:c>
    </x:row>
    <x:row r="40">
      <x:c r="A40" s="12" t="str">
        <x:v>NEO-0039</x:v>
      </x:c>
      <x:c r="B40" s="12" t="str">
        <x:v>Ativo</x:v>
      </x:c>
      <x:c r="C40" s="12" t="str">
        <x:v>Julho/2026</x:v>
      </x:c>
      <x:c r="D40" s="14" t="n">
        <x:v>46204</x:v>
      </x:c>
      <x:c r="E40" s="14" t="n">
        <x:v>46239</x:v>
      </x:c>
      <x:c r="F40" s="12" t="str">
        <x:v>Neonatos</x:v>
      </x:c>
      <x:c r="G40" s="12" t="str">
        <x:v>Revenda</x:v>
      </x:c>
      <x:c r="H40" s="12" t="str">
        <x:v>Revendedor</x:v>
      </x:c>
      <x:c r="I40" s="12" t="str">
        <x:v>Revenda</x:v>
      </x:c>
      <x:c r="J40" s="12" t="str">
        <x:v>X0092</x:v>
      </x:c>
      <x:c r="K40" s="12" t="str">
        <x:v>Colostro Bovino em Pó</x:v>
      </x:c>
      <x:c r="L40" s="12" t="str">
        <x:v>470 g</x:v>
      </x:c>
      <x:c r="M40" s="12" t="str">
        <x:v>Produto</x:v>
      </x:c>
      <x:c r="N40" s="12" t="str">
        <x:v>unidade</x:v>
      </x:c>
      <x:c r="O40" s="12" t="n">
        <x:v>405</x:v>
      </x:c>
      <x:c r="P40" s="12" t="n">
        <x:v>1000</x:v>
      </x:c>
      <x:c r="Q40" s="12" t="str">
        <x:v>405 a 1.000</x:v>
      </x:c>
      <x:c r="R40" s="16" t="n">
        <x:v>244</x:v>
      </x:c>
      <x:c r="S40" s="18" t="n">
        <x:v>0</x:v>
      </x:c>
      <x:c r="T40" s="16" t="n">
        <x:f>IF(R40="","",INT(R40*(1+IFERROR(S40,0))*100+0.5001)/100)</x:f>
        <x:v>244</x:v>
      </x:c>
      <x:c r="U40" s="16"/>
      <x:c r="V40" s="16" t="str">
        <x:f>IF(U40="","",U40-T40)</x:f>
      </x:c>
      <x:c r="W40" s="16"/>
      <x:c r="X40" s="16" t="n">
        <x:f>IF(W40&lt;&gt;"",W40,IF(U40&lt;&gt;"",U40,T40))</x:f>
        <x:v>244</x:v>
      </x:c>
      <x:c r="Y40" s="12"/>
      <x:c r="Z40" s="12" t="n">
        <x:v>50</x:v>
      </x:c>
      <x:c r="AA40" s="12" t="str">
        <x:v>Parcelamento em até 4x, com parcelas mínimas de R$ 500,00.</x:v>
      </x:c>
      <x:c r="AB40" s="12" t="str">
        <x:v>Compra mínima de 50 unidades. Preço por unidade. Compra mínima conforme produto.</x:v>
      </x:c>
      <x:c r="AC40" s="12" t="str"/>
      <x:c r="AD40" s="12" t="str">
        <x:v>Lista_Revenda_07_2026.pdf</x:v>
      </x:c>
      <x:c r="AE40" s="12" t="str">
        <x:v>1</x:v>
      </x:c>
      <x:c r="AF40" s="14" t="n">
        <x:v>46211</x:v>
      </x:c>
      <x:c r="AG40" s="12" t="str"/>
      <x:c r="AH40" s="12" t="str">
        <x:f>F40&amp;"|"&amp;G40&amp;"|"&amp;H40&amp;"|"&amp;J40&amp;"|"&amp;Q40</x:f>
        <x:v>Neonatos|Revenda|Revendedor|X0092|405 a 1.000</x:v>
      </x:c>
      <x:c r="AI40" s="12" t="str">
        <x:f>K40&amp;IF(L40&lt;&gt;""," ("&amp;L40&amp;")","")&amp;" — "&amp;Q40&amp;": R$ "&amp;ROUND(X40,2)&amp;" | "&amp;H40&amp;" | válido até "&amp;DAY(E40)&amp;"/"&amp;MONTH(E40)&amp;"/"&amp;YEAR(E40)</x:f>
        <x:v>Colostro Bovino em Pó (470 g) — 405 a 1.000: R$ 244 | Revendedor | válido até 5/8/2026</x:v>
      </x:c>
    </x:row>
    <x:row r="41">
      <x:c r="A41" s="12" t="str">
        <x:v>NEO-0040</x:v>
      </x:c>
      <x:c r="B41" s="12" t="str">
        <x:v>Ativo</x:v>
      </x:c>
      <x:c r="C41" s="12" t="str">
        <x:v>Julho/2026</x:v>
      </x:c>
      <x:c r="D41" s="14" t="n">
        <x:v>46204</x:v>
      </x:c>
      <x:c r="E41" s="14" t="n">
        <x:v>46239</x:v>
      </x:c>
      <x:c r="F41" s="12" t="str">
        <x:v>Neonatos</x:v>
      </x:c>
      <x:c r="G41" s="12" t="str">
        <x:v>Revenda</x:v>
      </x:c>
      <x:c r="H41" s="12" t="str">
        <x:v>Revendedor</x:v>
      </x:c>
      <x:c r="I41" s="12" t="str">
        <x:v>Revenda</x:v>
      </x:c>
      <x:c r="J41" s="12" t="str">
        <x:v>X0092</x:v>
      </x:c>
      <x:c r="K41" s="12" t="str">
        <x:v>Colostro Bovino em Pó</x:v>
      </x:c>
      <x:c r="L41" s="12" t="str">
        <x:v>470 g</x:v>
      </x:c>
      <x:c r="M41" s="12" t="str">
        <x:v>Produto</x:v>
      </x:c>
      <x:c r="N41" s="12" t="str">
        <x:v>unidade</x:v>
      </x:c>
      <x:c r="O41" s="12" t="n">
        <x:v>1001</x:v>
      </x:c>
      <x:c r="P41" s="12"/>
      <x:c r="Q41" s="12" t="str">
        <x:v>&gt; 1.000</x:v>
      </x:c>
      <x:c r="R41" s="16" t="n">
        <x:v>237</x:v>
      </x:c>
      <x:c r="S41" s="18" t="n">
        <x:v>0</x:v>
      </x:c>
      <x:c r="T41" s="16" t="n">
        <x:f>IF(R41="","",INT(R41*(1+IFERROR(S41,0))*100+0.5001)/100)</x:f>
        <x:v>237</x:v>
      </x:c>
      <x:c r="U41" s="16"/>
      <x:c r="V41" s="16" t="str">
        <x:f>IF(U41="","",U41-T41)</x:f>
      </x:c>
      <x:c r="W41" s="16"/>
      <x:c r="X41" s="16" t="n">
        <x:f>IF(W41&lt;&gt;"",W41,IF(U41&lt;&gt;"",U41,T41))</x:f>
        <x:v>237</x:v>
      </x:c>
      <x:c r="Y41" s="12"/>
      <x:c r="Z41" s="12" t="n">
        <x:v>50</x:v>
      </x:c>
      <x:c r="AA41" s="12" t="str">
        <x:v>Parcelamento em até 4x, com parcelas mínimas de R$ 500,00.</x:v>
      </x:c>
      <x:c r="AB41" s="12" t="str">
        <x:v>Compra mínima de 50 unidades. Preço por unidade. Compra mínima conforme produto.</x:v>
      </x:c>
      <x:c r="AC41" s="12" t="str"/>
      <x:c r="AD41" s="12" t="str">
        <x:v>Lista_Revenda_07_2026.pdf</x:v>
      </x:c>
      <x:c r="AE41" s="12" t="str">
        <x:v>1</x:v>
      </x:c>
      <x:c r="AF41" s="14" t="n">
        <x:v>46211</x:v>
      </x:c>
      <x:c r="AG41" s="12" t="str"/>
      <x:c r="AH41" s="12" t="str">
        <x:f>F41&amp;"|"&amp;G41&amp;"|"&amp;H41&amp;"|"&amp;J41&amp;"|"&amp;Q41</x:f>
        <x:v>Neonatos|Revenda|Revendedor|X0092|&gt; 1.000</x:v>
      </x:c>
      <x:c r="AI41" s="12" t="str">
        <x:f>K41&amp;IF(L41&lt;&gt;""," ("&amp;L41&amp;")","")&amp;" — "&amp;Q41&amp;": R$ "&amp;ROUND(X41,2)&amp;" | "&amp;H41&amp;" | válido até "&amp;DAY(E41)&amp;"/"&amp;MONTH(E41)&amp;"/"&amp;YEAR(E41)</x:f>
        <x:v>Colostro Bovino em Pó (470 g) — &gt; 1.000: R$ 237 | Revendedor | válido até 5/8/2026</x:v>
      </x:c>
    </x:row>
    <x:row r="42">
      <x:c r="A42" s="12" t="str">
        <x:v>NEO-0041</x:v>
      </x:c>
      <x:c r="B42" s="12" t="str">
        <x:v>Ativo</x:v>
      </x:c>
      <x:c r="C42" s="12" t="str">
        <x:v>Julho/2026</x:v>
      </x:c>
      <x:c r="D42" s="14" t="n">
        <x:v>46204</x:v>
      </x:c>
      <x:c r="E42" s="14" t="n">
        <x:v>46239</x:v>
      </x:c>
      <x:c r="F42" s="12" t="str">
        <x:v>Neonatos</x:v>
      </x:c>
      <x:c r="G42" s="12" t="str">
        <x:v>Revenda</x:v>
      </x:c>
      <x:c r="H42" s="12" t="str">
        <x:v>Revendedor</x:v>
      </x:c>
      <x:c r="I42" s="12" t="str">
        <x:v>Revenda</x:v>
      </x:c>
      <x:c r="J42" s="12" t="str">
        <x:v>744637</x:v>
      </x:c>
      <x:c r="K42" s="12" t="str">
        <x:v>AltaLYTE</x:v>
      </x:c>
      <x:c r="L42" s="12" t="str">
        <x:v>875 g</x:v>
      </x:c>
      <x:c r="M42" s="12" t="str">
        <x:v>Produto</x:v>
      </x:c>
      <x:c r="N42" s="12" t="str">
        <x:v>unidade</x:v>
      </x:c>
      <x:c r="O42" s="12" t="n">
        <x:v>20</x:v>
      </x:c>
      <x:c r="P42" s="12" t="n">
        <x:v>100</x:v>
      </x:c>
      <x:c r="Q42" s="12" t="str">
        <x:v>20 a 100</x:v>
      </x:c>
      <x:c r="R42" s="16" t="n">
        <x:v>58</x:v>
      </x:c>
      <x:c r="S42" s="18" t="n">
        <x:v>0</x:v>
      </x:c>
      <x:c r="T42" s="16" t="n">
        <x:f>IF(R42="","",INT(R42*(1+IFERROR(S42,0))*100+0.5001)/100)</x:f>
        <x:v>58</x:v>
      </x:c>
      <x:c r="U42" s="16"/>
      <x:c r="V42" s="16" t="str">
        <x:f>IF(U42="","",U42-T42)</x:f>
      </x:c>
      <x:c r="W42" s="16"/>
      <x:c r="X42" s="16" t="n">
        <x:f>IF(W42&lt;&gt;"",W42,IF(U42&lt;&gt;"",U42,T42))</x:f>
        <x:v>58</x:v>
      </x:c>
      <x:c r="Y42" s="12"/>
      <x:c r="Z42" s="12" t="n">
        <x:v>20</x:v>
      </x:c>
      <x:c r="AA42" s="12" t="str">
        <x:v>Parcelamento em até 4x, com parcelas mínimas de R$ 500,00.</x:v>
      </x:c>
      <x:c r="AB42" s="12" t="str">
        <x:v>Compra mínima de 20 unidades. Preço por unidade. Compra mínima conforme produto.</x:v>
      </x:c>
      <x:c r="AC42" s="12" t="str"/>
      <x:c r="AD42" s="12" t="str">
        <x:v>Lista_Revenda_07_2026.pdf</x:v>
      </x:c>
      <x:c r="AE42" s="12" t="str">
        <x:v>1</x:v>
      </x:c>
      <x:c r="AF42" s="14" t="n">
        <x:v>46211</x:v>
      </x:c>
      <x:c r="AG42" s="12" t="str"/>
      <x:c r="AH42" s="12" t="str">
        <x:f>F42&amp;"|"&amp;G42&amp;"|"&amp;H42&amp;"|"&amp;J42&amp;"|"&amp;Q42</x:f>
        <x:v>Neonatos|Revenda|Revendedor|744637|20 a 100</x:v>
      </x:c>
      <x:c r="AI42" s="12" t="str">
        <x:f>K42&amp;IF(L42&lt;&gt;""," ("&amp;L42&amp;")","")&amp;" — "&amp;Q42&amp;": R$ "&amp;ROUND(X42,2)&amp;" | "&amp;H42&amp;" | válido até "&amp;DAY(E42)&amp;"/"&amp;MONTH(E42)&amp;"/"&amp;YEAR(E42)</x:f>
        <x:v>AltaLYTE (875 g) — 20 a 100: R$ 58 | Revendedor | válido até 5/8/2026</x:v>
      </x:c>
    </x:row>
    <x:row r="43">
      <x:c r="A43" s="12" t="str">
        <x:v>NEO-0042</x:v>
      </x:c>
      <x:c r="B43" s="12" t="str">
        <x:v>Ativo</x:v>
      </x:c>
      <x:c r="C43" s="12" t="str">
        <x:v>Julho/2026</x:v>
      </x:c>
      <x:c r="D43" s="14" t="n">
        <x:v>46204</x:v>
      </x:c>
      <x:c r="E43" s="14" t="n">
        <x:v>46239</x:v>
      </x:c>
      <x:c r="F43" s="12" t="str">
        <x:v>Neonatos</x:v>
      </x:c>
      <x:c r="G43" s="12" t="str">
        <x:v>Revenda</x:v>
      </x:c>
      <x:c r="H43" s="12" t="str">
        <x:v>Revendedor</x:v>
      </x:c>
      <x:c r="I43" s="12" t="str">
        <x:v>Revenda</x:v>
      </x:c>
      <x:c r="J43" s="12" t="str">
        <x:v>744637</x:v>
      </x:c>
      <x:c r="K43" s="12" t="str">
        <x:v>AltaLYTE</x:v>
      </x:c>
      <x:c r="L43" s="12" t="str">
        <x:v>875 g</x:v>
      </x:c>
      <x:c r="M43" s="12" t="str">
        <x:v>Produto</x:v>
      </x:c>
      <x:c r="N43" s="12" t="str">
        <x:v>unidade</x:v>
      </x:c>
      <x:c r="O43" s="12" t="n">
        <x:v>105</x:v>
      </x:c>
      <x:c r="P43" s="12" t="n">
        <x:v>200</x:v>
      </x:c>
      <x:c r="Q43" s="12" t="str">
        <x:v>105 a 200</x:v>
      </x:c>
      <x:c r="R43" s="16" t="n">
        <x:v>55</x:v>
      </x:c>
      <x:c r="S43" s="18" t="n">
        <x:v>0</x:v>
      </x:c>
      <x:c r="T43" s="16" t="n">
        <x:f>IF(R43="","",INT(R43*(1+IFERROR(S43,0))*100+0.5001)/100)</x:f>
        <x:v>55</x:v>
      </x:c>
      <x:c r="U43" s="16"/>
      <x:c r="V43" s="16" t="str">
        <x:f>IF(U43="","",U43-T43)</x:f>
      </x:c>
      <x:c r="W43" s="16"/>
      <x:c r="X43" s="16" t="n">
        <x:f>IF(W43&lt;&gt;"",W43,IF(U43&lt;&gt;"",U43,T43))</x:f>
        <x:v>55</x:v>
      </x:c>
      <x:c r="Y43" s="12"/>
      <x:c r="Z43" s="12" t="n">
        <x:v>20</x:v>
      </x:c>
      <x:c r="AA43" s="12" t="str">
        <x:v>Parcelamento em até 4x, com parcelas mínimas de R$ 500,00.</x:v>
      </x:c>
      <x:c r="AB43" s="12" t="str">
        <x:v>Compra mínima de 20 unidades. Preço por unidade. Compra mínima conforme produto.</x:v>
      </x:c>
      <x:c r="AC43" s="12" t="str"/>
      <x:c r="AD43" s="12" t="str">
        <x:v>Lista_Revenda_07_2026.pdf</x:v>
      </x:c>
      <x:c r="AE43" s="12" t="str">
        <x:v>1</x:v>
      </x:c>
      <x:c r="AF43" s="14" t="n">
        <x:v>46211</x:v>
      </x:c>
      <x:c r="AG43" s="12" t="str"/>
      <x:c r="AH43" s="12" t="str">
        <x:f>F43&amp;"|"&amp;G43&amp;"|"&amp;H43&amp;"|"&amp;J43&amp;"|"&amp;Q43</x:f>
        <x:v>Neonatos|Revenda|Revendedor|744637|105 a 200</x:v>
      </x:c>
      <x:c r="AI43" s="12" t="str">
        <x:f>K43&amp;IF(L43&lt;&gt;""," ("&amp;L43&amp;")","")&amp;" — "&amp;Q43&amp;": R$ "&amp;ROUND(X43,2)&amp;" | "&amp;H43&amp;" | válido até "&amp;DAY(E43)&amp;"/"&amp;MONTH(E43)&amp;"/"&amp;YEAR(E43)</x:f>
        <x:v>AltaLYTE (875 g) — 105 a 200: R$ 55 | Revendedor | válido até 5/8/2026</x:v>
      </x:c>
    </x:row>
    <x:row r="44">
      <x:c r="A44" s="12" t="str">
        <x:v>NEO-0043</x:v>
      </x:c>
      <x:c r="B44" s="12" t="str">
        <x:v>Ativo</x:v>
      </x:c>
      <x:c r="C44" s="12" t="str">
        <x:v>Julho/2026</x:v>
      </x:c>
      <x:c r="D44" s="14" t="n">
        <x:v>46204</x:v>
      </x:c>
      <x:c r="E44" s="14" t="n">
        <x:v>46239</x:v>
      </x:c>
      <x:c r="F44" s="12" t="str">
        <x:v>Neonatos</x:v>
      </x:c>
      <x:c r="G44" s="12" t="str">
        <x:v>Revenda</x:v>
      </x:c>
      <x:c r="H44" s="12" t="str">
        <x:v>Revendedor</x:v>
      </x:c>
      <x:c r="I44" s="12" t="str">
        <x:v>Revenda</x:v>
      </x:c>
      <x:c r="J44" s="12" t="str">
        <x:v>744637</x:v>
      </x:c>
      <x:c r="K44" s="12" t="str">
        <x:v>AltaLYTE</x:v>
      </x:c>
      <x:c r="L44" s="12" t="str">
        <x:v>875 g</x:v>
      </x:c>
      <x:c r="M44" s="12" t="str">
        <x:v>Produto</x:v>
      </x:c>
      <x:c r="N44" s="12" t="str">
        <x:v>unidade</x:v>
      </x:c>
      <x:c r="O44" s="12" t="n">
        <x:v>201</x:v>
      </x:c>
      <x:c r="P44" s="12"/>
      <x:c r="Q44" s="12" t="str">
        <x:v>&gt; 200</x:v>
      </x:c>
      <x:c r="R44" s="16" t="n">
        <x:v>51</x:v>
      </x:c>
      <x:c r="S44" s="18" t="n">
        <x:v>0</x:v>
      </x:c>
      <x:c r="T44" s="16" t="n">
        <x:f>IF(R44="","",INT(R44*(1+IFERROR(S44,0))*100+0.5001)/100)</x:f>
        <x:v>51</x:v>
      </x:c>
      <x:c r="U44" s="16"/>
      <x:c r="V44" s="16" t="str">
        <x:f>IF(U44="","",U44-T44)</x:f>
      </x:c>
      <x:c r="W44" s="16"/>
      <x:c r="X44" s="16" t="n">
        <x:f>IF(W44&lt;&gt;"",W44,IF(U44&lt;&gt;"",U44,T44))</x:f>
        <x:v>51</x:v>
      </x:c>
      <x:c r="Y44" s="12"/>
      <x:c r="Z44" s="12" t="n">
        <x:v>20</x:v>
      </x:c>
      <x:c r="AA44" s="12" t="str">
        <x:v>Parcelamento em até 4x, com parcelas mínimas de R$ 500,00.</x:v>
      </x:c>
      <x:c r="AB44" s="12" t="str">
        <x:v>Compra mínima de 20 unidades. Preço por unidade. Compra mínima conforme produto.</x:v>
      </x:c>
      <x:c r="AC44" s="12" t="str"/>
      <x:c r="AD44" s="12" t="str">
        <x:v>Lista_Revenda_07_2026.pdf</x:v>
      </x:c>
      <x:c r="AE44" s="12" t="str">
        <x:v>1</x:v>
      </x:c>
      <x:c r="AF44" s="14" t="n">
        <x:v>46211</x:v>
      </x:c>
      <x:c r="AG44" s="12" t="str"/>
      <x:c r="AH44" s="12" t="str">
        <x:f>F44&amp;"|"&amp;G44&amp;"|"&amp;H44&amp;"|"&amp;J44&amp;"|"&amp;Q44</x:f>
        <x:v>Neonatos|Revenda|Revendedor|744637|&gt; 200</x:v>
      </x:c>
      <x:c r="AI44" s="12" t="str">
        <x:f>K44&amp;IF(L44&lt;&gt;""," ("&amp;L44&amp;")","")&amp;" — "&amp;Q44&amp;": R$ "&amp;ROUND(X44,2)&amp;" | "&amp;H44&amp;" | válido até "&amp;DAY(E44)&amp;"/"&amp;MONTH(E44)&amp;"/"&amp;YEAR(E44)</x:f>
        <x:v>AltaLYTE (875 g) — &gt; 200: R$ 51 | Revendedor | válido até 5/8/2026</x:v>
      </x:c>
    </x:row>
    <x:row r="45">
      <x:c r="A45" s="12" t="str">
        <x:v>NEO-0044</x:v>
      </x:c>
      <x:c r="B45" s="12" t="str">
        <x:v>Ativo</x:v>
      </x:c>
      <x:c r="C45" s="12" t="str">
        <x:v>Julho/2026</x:v>
      </x:c>
      <x:c r="D45" s="14" t="n">
        <x:v>46204</x:v>
      </x:c>
      <x:c r="E45" s="14" t="n">
        <x:v>46239</x:v>
      </x:c>
      <x:c r="F45" s="12" t="str">
        <x:v>Neonatos</x:v>
      </x:c>
      <x:c r="G45" s="12" t="str">
        <x:v>Revenda</x:v>
      </x:c>
      <x:c r="H45" s="12" t="str">
        <x:v>Revendedor</x:v>
      </x:c>
      <x:c r="I45" s="12" t="str">
        <x:v>Revenda</x:v>
      </x:c>
      <x:c r="J45" s="12" t="str">
        <x:v>746834</x:v>
      </x:c>
      <x:c r="K45" s="12" t="str">
        <x:v>SOS BEEF</x:v>
      </x:c>
      <x:c r="L45" s="12" t="str">
        <x:v>235 g</x:v>
      </x:c>
      <x:c r="M45" s="12" t="str">
        <x:v>Produto</x:v>
      </x:c>
      <x:c r="N45" s="12" t="str">
        <x:v>unidade</x:v>
      </x:c>
      <x:c r="O45" s="12" t="n">
        <x:v>16</x:v>
      </x:c>
      <x:c r="P45" s="12" t="n">
        <x:v>72</x:v>
      </x:c>
      <x:c r="Q45" s="12" t="str">
        <x:v>16 a 72</x:v>
      </x:c>
      <x:c r="R45" s="16" t="n">
        <x:v>166</x:v>
      </x:c>
      <x:c r="S45" s="18" t="n">
        <x:v>0</x:v>
      </x:c>
      <x:c r="T45" s="16" t="n">
        <x:f>IF(R45="","",INT(R45*(1+IFERROR(S45,0))*100+0.5001)/100)</x:f>
        <x:v>166</x:v>
      </x:c>
      <x:c r="U45" s="16"/>
      <x:c r="V45" s="16" t="str">
        <x:f>IF(U45="","",U45-T45)</x:f>
      </x:c>
      <x:c r="W45" s="16"/>
      <x:c r="X45" s="16" t="n">
        <x:f>IF(W45&lt;&gt;"",W45,IF(U45&lt;&gt;"",U45,T45))</x:f>
        <x:v>166</x:v>
      </x:c>
      <x:c r="Y45" s="12"/>
      <x:c r="Z45" s="12" t="n">
        <x:v>16</x:v>
      </x:c>
      <x:c r="AA45" s="12" t="str">
        <x:v>Parcelamento em até 4x, com parcelas mínimas de R$ 500,00.</x:v>
      </x:c>
      <x:c r="AB45" s="12" t="str">
        <x:v>Compra mínima de 16 unidades. Preço por unidade. Compra mínima conforme produto.</x:v>
      </x:c>
      <x:c r="AC45" s="12" t="str"/>
      <x:c r="AD45" s="12" t="str">
        <x:v>Lista_Revenda_07_2026.pdf</x:v>
      </x:c>
      <x:c r="AE45" s="12" t="str">
        <x:v>1</x:v>
      </x:c>
      <x:c r="AF45" s="14" t="n">
        <x:v>46211</x:v>
      </x:c>
      <x:c r="AG45" s="12" t="str"/>
      <x:c r="AH45" s="12" t="str">
        <x:f>F45&amp;"|"&amp;G45&amp;"|"&amp;H45&amp;"|"&amp;J45&amp;"|"&amp;Q45</x:f>
        <x:v>Neonatos|Revenda|Revendedor|746834|16 a 72</x:v>
      </x:c>
      <x:c r="AI45" s="12" t="str">
        <x:f>K45&amp;IF(L45&lt;&gt;""," ("&amp;L45&amp;")","")&amp;" — "&amp;Q45&amp;": R$ "&amp;ROUND(X45,2)&amp;" | "&amp;H45&amp;" | válido até "&amp;DAY(E45)&amp;"/"&amp;MONTH(E45)&amp;"/"&amp;YEAR(E45)</x:f>
        <x:v>SOS BEEF (235 g) — 16 a 72: R$ 166 | Revendedor | válido até 5/8/2026</x:v>
      </x:c>
    </x:row>
    <x:row r="46">
      <x:c r="A46" s="12" t="str">
        <x:v>NEO-0045</x:v>
      </x:c>
      <x:c r="B46" s="12" t="str">
        <x:v>Ativo</x:v>
      </x:c>
      <x:c r="C46" s="12" t="str">
        <x:v>Julho/2026</x:v>
      </x:c>
      <x:c r="D46" s="14" t="n">
        <x:v>46204</x:v>
      </x:c>
      <x:c r="E46" s="14" t="n">
        <x:v>46239</x:v>
      </x:c>
      <x:c r="F46" s="12" t="str">
        <x:v>Neonatos</x:v>
      </x:c>
      <x:c r="G46" s="12" t="str">
        <x:v>Revenda</x:v>
      </x:c>
      <x:c r="H46" s="12" t="str">
        <x:v>Revendedor</x:v>
      </x:c>
      <x:c r="I46" s="12" t="str">
        <x:v>Revenda</x:v>
      </x:c>
      <x:c r="J46" s="12" t="str">
        <x:v>746834</x:v>
      </x:c>
      <x:c r="K46" s="12" t="str">
        <x:v>SOS BEEF</x:v>
      </x:c>
      <x:c r="L46" s="12" t="str">
        <x:v>235 g</x:v>
      </x:c>
      <x:c r="M46" s="12" t="str">
        <x:v>Produto</x:v>
      </x:c>
      <x:c r="N46" s="12" t="str">
        <x:v>unidade</x:v>
      </x:c>
      <x:c r="O46" s="12" t="n">
        <x:v>80</x:v>
      </x:c>
      <x:c r="P46" s="12" t="n">
        <x:v>152</x:v>
      </x:c>
      <x:c r="Q46" s="12" t="str">
        <x:v>80 a 152</x:v>
      </x:c>
      <x:c r="R46" s="16" t="n">
        <x:v>161</x:v>
      </x:c>
      <x:c r="S46" s="18" t="n">
        <x:v>0</x:v>
      </x:c>
      <x:c r="T46" s="16" t="n">
        <x:f>IF(R46="","",INT(R46*(1+IFERROR(S46,0))*100+0.5001)/100)</x:f>
        <x:v>161</x:v>
      </x:c>
      <x:c r="U46" s="16"/>
      <x:c r="V46" s="16" t="str">
        <x:f>IF(U46="","",U46-T46)</x:f>
      </x:c>
      <x:c r="W46" s="16"/>
      <x:c r="X46" s="16" t="n">
        <x:f>IF(W46&lt;&gt;"",W46,IF(U46&lt;&gt;"",U46,T46))</x:f>
        <x:v>161</x:v>
      </x:c>
      <x:c r="Y46" s="12"/>
      <x:c r="Z46" s="12" t="n">
        <x:v>16</x:v>
      </x:c>
      <x:c r="AA46" s="12" t="str">
        <x:v>Parcelamento em até 4x, com parcelas mínimas de R$ 500,00.</x:v>
      </x:c>
      <x:c r="AB46" s="12" t="str">
        <x:v>Compra mínima de 16 unidades. Preço por unidade. Compra mínima conforme produto.</x:v>
      </x:c>
      <x:c r="AC46" s="12" t="str"/>
      <x:c r="AD46" s="12" t="str">
        <x:v>Lista_Revenda_07_2026.pdf</x:v>
      </x:c>
      <x:c r="AE46" s="12" t="str">
        <x:v>1</x:v>
      </x:c>
      <x:c r="AF46" s="14" t="n">
        <x:v>46211</x:v>
      </x:c>
      <x:c r="AG46" s="12" t="str"/>
      <x:c r="AH46" s="12" t="str">
        <x:f>F46&amp;"|"&amp;G46&amp;"|"&amp;H46&amp;"|"&amp;J46&amp;"|"&amp;Q46</x:f>
        <x:v>Neonatos|Revenda|Revendedor|746834|80 a 152</x:v>
      </x:c>
      <x:c r="AI46" s="12" t="str">
        <x:f>K46&amp;IF(L46&lt;&gt;""," ("&amp;L46&amp;")","")&amp;" — "&amp;Q46&amp;": R$ "&amp;ROUND(X46,2)&amp;" | "&amp;H46&amp;" | válido até "&amp;DAY(E46)&amp;"/"&amp;MONTH(E46)&amp;"/"&amp;YEAR(E46)</x:f>
        <x:v>SOS BEEF (235 g) — 80 a 152: R$ 161 | Revendedor | válido até 5/8/2026</x:v>
      </x:c>
    </x:row>
    <x:row r="47">
      <x:c r="A47" s="12" t="str">
        <x:v>NEO-0046</x:v>
      </x:c>
      <x:c r="B47" s="12" t="str">
        <x:v>Ativo</x:v>
      </x:c>
      <x:c r="C47" s="12" t="str">
        <x:v>Julho/2026</x:v>
      </x:c>
      <x:c r="D47" s="14" t="n">
        <x:v>46204</x:v>
      </x:c>
      <x:c r="E47" s="14" t="n">
        <x:v>46239</x:v>
      </x:c>
      <x:c r="F47" s="12" t="str">
        <x:v>Neonatos</x:v>
      </x:c>
      <x:c r="G47" s="12" t="str">
        <x:v>Revenda</x:v>
      </x:c>
      <x:c r="H47" s="12" t="str">
        <x:v>Revendedor</x:v>
      </x:c>
      <x:c r="I47" s="12" t="str">
        <x:v>Revenda</x:v>
      </x:c>
      <x:c r="J47" s="12" t="str">
        <x:v>746834</x:v>
      </x:c>
      <x:c r="K47" s="12" t="str">
        <x:v>SOS BEEF</x:v>
      </x:c>
      <x:c r="L47" s="12" t="str">
        <x:v>235 g</x:v>
      </x:c>
      <x:c r="M47" s="12" t="str">
        <x:v>Produto</x:v>
      </x:c>
      <x:c r="N47" s="12" t="str">
        <x:v>unidade</x:v>
      </x:c>
      <x:c r="O47" s="12" t="n">
        <x:v>161</x:v>
      </x:c>
      <x:c r="P47" s="12"/>
      <x:c r="Q47" s="12" t="str">
        <x:v>&gt; 160</x:v>
      </x:c>
      <x:c r="R47" s="16" t="n">
        <x:v>156</x:v>
      </x:c>
      <x:c r="S47" s="18" t="n">
        <x:v>0</x:v>
      </x:c>
      <x:c r="T47" s="16" t="n">
        <x:f>IF(R47="","",INT(R47*(1+IFERROR(S47,0))*100+0.5001)/100)</x:f>
        <x:v>156</x:v>
      </x:c>
      <x:c r="U47" s="16"/>
      <x:c r="V47" s="16" t="str">
        <x:f>IF(U47="","",U47-T47)</x:f>
      </x:c>
      <x:c r="W47" s="16"/>
      <x:c r="X47" s="16" t="n">
        <x:f>IF(W47&lt;&gt;"",W47,IF(U47&lt;&gt;"",U47,T47))</x:f>
        <x:v>156</x:v>
      </x:c>
      <x:c r="Y47" s="12"/>
      <x:c r="Z47" s="12" t="n">
        <x:v>16</x:v>
      </x:c>
      <x:c r="AA47" s="12" t="str">
        <x:v>Parcelamento em até 4x, com parcelas mínimas de R$ 500,00.</x:v>
      </x:c>
      <x:c r="AB47" s="12" t="str">
        <x:v>Compra mínima de 16 unidades. Preço por unidade. Compra mínima conforme produto.</x:v>
      </x:c>
      <x:c r="AC47" s="12" t="str"/>
      <x:c r="AD47" s="12" t="str">
        <x:v>Lista_Revenda_07_2026.pdf</x:v>
      </x:c>
      <x:c r="AE47" s="12" t="str">
        <x:v>1</x:v>
      </x:c>
      <x:c r="AF47" s="14" t="n">
        <x:v>46211</x:v>
      </x:c>
      <x:c r="AG47" s="12" t="str"/>
      <x:c r="AH47" s="12" t="str">
        <x:f>F47&amp;"|"&amp;G47&amp;"|"&amp;H47&amp;"|"&amp;J47&amp;"|"&amp;Q47</x:f>
        <x:v>Neonatos|Revenda|Revendedor|746834|&gt; 160</x:v>
      </x:c>
      <x:c r="AI47" s="12" t="str">
        <x:f>K47&amp;IF(L47&lt;&gt;""," ("&amp;L47&amp;")","")&amp;" — "&amp;Q47&amp;": R$ "&amp;ROUND(X47,2)&amp;" | "&amp;H47&amp;" | válido até "&amp;DAY(E47)&amp;"/"&amp;MONTH(E47)&amp;"/"&amp;YEAR(E47)</x:f>
        <x:v>SOS BEEF (235 g) — &gt; 160: R$ 156 | Revendedor | válido até 5/8/2026</x:v>
      </x:c>
    </x:row>
  </x:sheetData>
  <x:conditionalFormatting sqref="V2:V47">
    <x:cfRule type="expression" dxfId="0" priority="1">
      <x:formula>ABS(V2)&gt;0.01</x:formula>
    </x:cfRule>
  </x:conditionalFormatting>
  <x:conditionalFormatting sqref="B2:B47">
    <x:cfRule type="cellIs" dxfId="1" priority="2">
      <x:formula>"Revisar"</x:formula>
    </x:cfRule>
  </x:conditionalFormatting>
  <x:dataValidations count="7">
    <x:dataValidation type="list" sqref="B2:B500">
      <x:formula1>"Ativo,Inativo,Revisar,Excluir na próxima versão"</x:formula1>
    </x:dataValidation>
    <x:dataValidation type="list" sqref="F2:F500">
      <x:formula1>"Neonatos"</x:formula1>
    </x:dataValidation>
    <x:dataValidation type="list" sqref="G2:G500">
      <x:formula1>"Leite,Corte,Revenda"</x:formula1>
    </x:dataValidation>
    <x:dataValidation type="list" sqref="H2:H500">
      <x:formula1>"Produtor,Revendedor,Clientes especiais (Advantage/Alta CRIA),Todos"</x:formula1>
    </x:dataValidation>
    <x:dataValidation type="list" sqref="I2:I500">
      <x:formula1>"Venda regular,Revenda,Clientes especiais,Acessórios"</x:formula1>
    </x:dataValidation>
    <x:dataValidation type="list" sqref="M2:M500">
      <x:formula1>"Produto,Acessório,Serviço,Kit"</x:formula1>
    </x:dataValidation>
    <x:dataValidation type="list" sqref="N2:N500">
      <x:formula1>"pacote,unidade,balde,caixa,tratamento,mês,dose"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f261be405245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22" hidden="0" customWidth="1"/>
    <x:col min="5" max="5" width="14" hidden="0" customWidth="1"/>
    <x:col min="6" max="6" width="18" hidden="0" customWidth="1"/>
    <x:col min="7" max="7" width="10" hidden="0" customWidth="1"/>
    <x:col min="8" max="8" width="48" hidden="0" customWidth="1"/>
  </x:cols>
  <x:sheetData>
    <x:row r="1" ht="24" customHeight="1">
      <x:c r="A1" s="6" t="str">
        <x:v>Codigo</x:v>
      </x:c>
      <x:c r="B1" s="6" t="str">
        <x:v>Produto</x:v>
      </x:c>
      <x:c r="C1" s="6" t="str">
        <x:v>Apresentacao</x:v>
      </x:c>
      <x:c r="D1" s="6" t="str">
        <x:v>Linhas_Atende</x:v>
      </x:c>
      <x:c r="E1" s="6" t="str">
        <x:v>Tipo_Item</x:v>
      </x:c>
      <x:c r="F1" s="6" t="str">
        <x:v>Unidade_Padrao</x:v>
      </x:c>
      <x:c r="G1" s="6" t="str">
        <x:v>Ativo</x:v>
      </x:c>
      <x:c r="H1" s="6" t="str">
        <x:v>Observacoes</x:v>
      </x:c>
    </x:row>
    <x:row r="2">
      <x:c r="A2" s="12" t="str">
        <x:v>X0092</x:v>
      </x:c>
      <x:c r="B2" s="12" t="str">
        <x:v>Colostro Bovino em Pó</x:v>
      </x:c>
      <x:c r="C2" s="12" t="str">
        <x:v>470 g</x:v>
      </x:c>
      <x:c r="D2" s="12" t="str">
        <x:v>Leite; Revenda</x:v>
      </x:c>
      <x:c r="E2" s="12" t="str">
        <x:v>Produto</x:v>
      </x:c>
      <x:c r="F2" s="12" t="str">
        <x:v>pacote/unidade</x:v>
      </x:c>
      <x:c r="G2" s="12" t="str">
        <x:v>Sim</x:v>
      </x:c>
      <x:c r="H2" s="12" t="str">
        <x:v>Produto de neonatos leite e revenda.</x:v>
      </x:c>
    </x:row>
    <x:row r="3">
      <x:c r="A3" s="12" t="str">
        <x:v>744637</x:v>
      </x:c>
      <x:c r="B3" s="12" t="str">
        <x:v>AltaLYTE</x:v>
      </x:c>
      <x:c r="C3" s="12" t="str">
        <x:v>875 g</x:v>
      </x:c>
      <x:c r="D3" s="12" t="str">
        <x:v>Leite; Corte; Revenda</x:v>
      </x:c>
      <x:c r="E3" s="12" t="str">
        <x:v>Produto</x:v>
      </x:c>
      <x:c r="F3" s="12" t="str">
        <x:v>pacote/unidade</x:v>
      </x:c>
      <x:c r="G3" s="12" t="str">
        <x:v>Sim</x:v>
      </x:c>
      <x:c r="H3" s="12" t="str">
        <x:v>Produto presente em leite, corte e revenda.</x:v>
      </x:c>
    </x:row>
    <x:row r="4">
      <x:c r="A4" s="12" t="str">
        <x:v>X0168</x:v>
      </x:c>
      <x:c r="B4" s="12" t="str">
        <x:v>Balde de Colostro Bovino em Pó</x:v>
      </x:c>
      <x:c r="C4" s="12" t="str">
        <x:v>4,7 kg</x:v>
      </x:c>
      <x:c r="D4" s="12" t="str">
        <x:v>Leite</x:v>
      </x:c>
      <x:c r="E4" s="12" t="str">
        <x:v>Produto</x:v>
      </x:c>
      <x:c r="F4" s="12" t="str">
        <x:v>unidade</x:v>
      </x:c>
      <x:c r="G4" s="12" t="str">
        <x:v>Sim</x:v>
      </x:c>
      <x:c r="H4" s="12" t="str">
        <x:v>Produto de neonatos leite.</x:v>
      </x:c>
    </x:row>
    <x:row r="5">
      <x:c r="A5" s="12" t="str">
        <x:v>746834</x:v>
      </x:c>
      <x:c r="B5" s="12" t="str">
        <x:v>SOS BEEF</x:v>
      </x:c>
      <x:c r="C5" s="12" t="str">
        <x:v>235 g</x:v>
      </x:c>
      <x:c r="D5" s="12" t="str">
        <x:v>Corte; Revenda</x:v>
      </x:c>
      <x:c r="E5" s="12" t="str">
        <x:v>Produto</x:v>
      </x:c>
      <x:c r="F5" s="12" t="str">
        <x:v>pacote/unidade</x:v>
      </x:c>
      <x:c r="G5" s="12" t="str">
        <x:v>Sim</x:v>
      </x:c>
      <x:c r="H5" s="12" t="str">
        <x:v>Produto de neonatos corte e revenda.</x:v>
      </x:c>
    </x:row>
    <x:row r="6">
      <x:c r="A6" s="12" t="str">
        <x:v>701017</x:v>
      </x:c>
      <x:c r="B6" s="12" t="str">
        <x:v>Bico Excedente</x:v>
      </x:c>
      <x:c r="C6" s="12" t="str"/>
      <x:c r="D6" s="12" t="str">
        <x:v>Leite; Corte</x:v>
      </x:c>
      <x:c r="E6" s="12" t="str">
        <x:v>Acessório</x:v>
      </x:c>
      <x:c r="F6" s="12" t="str">
        <x:v>unidade</x:v>
      </x:c>
      <x:c r="G6" s="12" t="str">
        <x:v>Sim</x:v>
      </x:c>
      <x:c r="H6" s="12" t="str">
        <x:v>Nome varia levemente entre listas.</x:v>
      </x:c>
    </x:row>
    <x:row r="7">
      <x:c r="A7" s="12" t="str">
        <x:v>755009</x:v>
      </x:c>
      <x:c r="B7" s="12" t="str">
        <x:v>Bico para SOS Beef</x:v>
      </x:c>
      <x:c r="C7" s="12" t="str"/>
      <x:c r="D7" s="12" t="str">
        <x:v>Corte</x:v>
      </x:c>
      <x:c r="E7" s="12" t="str">
        <x:v>Acessório</x:v>
      </x:c>
      <x:c r="F7" s="12" t="str">
        <x:v>unidade</x:v>
      </x:c>
      <x:c r="G7" s="12" t="str">
        <x:v>Sim</x:v>
      </x:c>
      <x:c r="H7" s="12" t="str">
        <x:v>Acessório corte.</x:v>
      </x:c>
    </x:row>
    <x:row r="8">
      <x:c r="A8" s="12" t="str">
        <x:v>701011</x:v>
      </x:c>
      <x:c r="B8" s="12" t="str">
        <x:v>Mamadeira Alta para bezerros</x:v>
      </x:c>
      <x:c r="C8" s="12" t="str"/>
      <x:c r="D8" s="12" t="str">
        <x:v>Leite; Corte</x:v>
      </x:c>
      <x:c r="E8" s="12" t="str">
        <x:v>Acessório</x:v>
      </x:c>
      <x:c r="F8" s="12" t="str">
        <x:v>unidade</x:v>
      </x:c>
      <x:c r="G8" s="12" t="str">
        <x:v>Sim</x:v>
      </x:c>
      <x:c r="H8" s="12" t="str">
        <x:v>Nome varia levemente entre listas.</x:v>
      </x:c>
    </x:row>
    <x:row r="9">
      <x:c r="A9" s="12" t="str">
        <x:v>715349</x:v>
      </x:c>
      <x:c r="B9" s="12" t="str">
        <x:v>Sonda Esofágica Alta</x:v>
      </x:c>
      <x:c r="C9" s="12" t="str"/>
      <x:c r="D9" s="12" t="str">
        <x:v>Leite; Corte</x:v>
      </x:c>
      <x:c r="E9" s="12" t="str">
        <x:v>Acessório</x:v>
      </x:c>
      <x:c r="F9" s="12" t="str">
        <x:v>unidade</x:v>
      </x:c>
      <x:c r="G9" s="12" t="str">
        <x:v>Sim</x:v>
      </x:c>
      <x:c r="H9" s="12" t="str">
        <x:v>Nome varia levemente entre listas.</x:v>
      </x:c>
    </x:row>
    <x:row r="10">
      <x:c r="A10" s="12" t="str">
        <x:v>755010</x:v>
      </x:c>
      <x:c r="B10" s="12" t="str">
        <x:v>Sonda para SOS Beef</x:v>
      </x:c>
      <x:c r="C10" s="12" t="str"/>
      <x:c r="D10" s="12" t="str">
        <x:v>Corte</x:v>
      </x:c>
      <x:c r="E10" s="12" t="str">
        <x:v>Acessório</x:v>
      </x:c>
      <x:c r="F10" s="12" t="str">
        <x:v>unidade</x:v>
      </x:c>
      <x:c r="G10" s="12" t="str">
        <x:v>Sim</x:v>
      </x:c>
      <x:c r="H10" s="12" t="str">
        <x:v>Acessório corte.</x:v>
      </x:c>
    </x:row>
    <x:row r="11">
      <x:c r="A11" s="12" t="str">
        <x:v>715089</x:v>
      </x:c>
      <x:c r="B11" s="12" t="str">
        <x:v>Jaqueta para Bezerras</x:v>
      </x:c>
      <x:c r="C11" s="12" t="str"/>
      <x:c r="D11" s="12" t="str">
        <x:v>Leite</x:v>
      </x:c>
      <x:c r="E11" s="12" t="str">
        <x:v>Acessório</x:v>
      </x:c>
      <x:c r="F11" s="12" t="str">
        <x:v>unidade</x:v>
      </x:c>
      <x:c r="G11" s="12" t="str">
        <x:v>Sim</x:v>
      </x:c>
      <x:c r="H11" s="12" t="str">
        <x:v>Acessório leite.</x:v>
      </x:c>
    </x:row>
    <x:row r="12">
      <x:c r="A12" s="12" t="str">
        <x:v>712830</x:v>
      </x:c>
      <x:c r="B12" s="12" t="str">
        <x:v>Refratômetro Digital</x:v>
      </x:c>
      <x:c r="C12" s="12" t="str"/>
      <x:c r="D12" s="12" t="str">
        <x:v>Leite</x:v>
      </x:c>
      <x:c r="E12" s="12" t="str">
        <x:v>Acessório</x:v>
      </x:c>
      <x:c r="F12" s="12" t="str">
        <x:v>unidade</x:v>
      </x:c>
      <x:c r="G12" s="12" t="str">
        <x:v>Sim</x:v>
      </x:c>
      <x:c r="H12" s="12" t="str">
        <x:v>Acessório leite.</x:v>
      </x:c>
    </x:row>
    <x:row r="13">
      <x:c r="A13" s="12" t="str">
        <x:v>706529</x:v>
      </x:c>
      <x:c r="B13" s="12" t="str">
        <x:v>Refratômetro Óptico</x:v>
      </x:c>
      <x:c r="C13" s="12" t="str"/>
      <x:c r="D13" s="12" t="str">
        <x:v>Leite</x:v>
      </x:c>
      <x:c r="E13" s="12" t="str">
        <x:v>Acessório</x:v>
      </x:c>
      <x:c r="F13" s="12" t="str">
        <x:v>unidade</x:v>
      </x:c>
      <x:c r="G13" s="12" t="str">
        <x:v>Sim</x:v>
      </x:c>
      <x:c r="H13" s="12" t="str">
        <x:v>Acessório leite.</x:v>
      </x:c>
    </x:row>
    <x:row r="14">
      <x:c r="A14" s="12" t="str">
        <x:v>736280</x:v>
      </x:c>
      <x:c r="B14" s="12" t="str">
        <x:v>Saco Hermético p/ Congelamento de Colostro</x:v>
      </x:c>
      <x:c r="C14" s="12" t="str">
        <x:v>192 unidades</x:v>
      </x:c>
      <x:c r="D14" s="12" t="str">
        <x:v>Leite</x:v>
      </x:c>
      <x:c r="E14" s="12" t="str">
        <x:v>Acessório</x:v>
      </x:c>
      <x:c r="F14" s="12" t="str">
        <x:v>unidade</x:v>
      </x:c>
      <x:c r="G14" s="12" t="str">
        <x:v>Sim</x:v>
      </x:c>
      <x:c r="H14" s="12" t="str">
        <x:v>Acessório leite.</x:v>
      </x:c>
    </x:row>
  </x:sheetData>
  <x:pageMargins left="0.7" right="0.7" top="0.75" bottom="0.75" header="0.3" footer="0.3"/>
  <x:tableParts count="1">
    <x:tablePart xmlns:r="http://schemas.openxmlformats.org/officeDocument/2006/relationships" r:id="R2c2a2e138aaa48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34" hidden="0" customWidth="1"/>
    <x:col min="6" max="6" width="12" hidden="0" customWidth="1"/>
    <x:col min="7" max="7" width="34" hidden="0" customWidth="1"/>
    <x:col min="8" max="8" width="26" hidden="0" customWidth="1"/>
    <x:col min="9" max="9" width="10" hidden="0" customWidth="1"/>
    <x:col min="10" max="10" width="10" hidden="0" customWidth="1"/>
    <x:col min="11" max="11" width="18" hidden="0" customWidth="1"/>
    <x:col min="12" max="12" width="14" hidden="0" customWidth="1"/>
    <x:col min="13" max="13" width="14" hidden="0" customWidth="1"/>
    <x:col min="14" max="14" width="44" hidden="0" customWidth="1"/>
    <x:col min="15" max="15" width="48" hidden="0" customWidth="1"/>
    <x:col min="16" max="16" width="18" hidden="0" customWidth="1"/>
  </x:cols>
  <x:sheetData>
    <x:row r="1" ht="24" customHeight="1">
      <x:c r="A1" s="6" t="str">
        <x:v>Promo_ID</x:v>
      </x:c>
      <x:c r="B1" s="6" t="str">
        <x:v>Status</x:v>
      </x:c>
      <x:c r="C1" s="6" t="str">
        <x:v>Pasta</x:v>
      </x:c>
      <x:c r="D1" s="6" t="str">
        <x:v>Subpasta</x:v>
      </x:c>
      <x:c r="E1" s="6" t="str">
        <x:v>Perfil_Cliente</x:v>
      </x:c>
      <x:c r="F1" s="6" t="str">
        <x:v>Codigo</x:v>
      </x:c>
      <x:c r="G1" s="6" t="str">
        <x:v>Produto</x:v>
      </x:c>
      <x:c r="H1" s="6" t="str">
        <x:v>Tipo_Preco_Afetado</x:v>
      </x:c>
      <x:c r="I1" s="6" t="str">
        <x:v>Qtd_Min</x:v>
      </x:c>
      <x:c r="J1" s="6" t="str">
        <x:v>Qtd_Max</x:v>
      </x:c>
      <x:c r="K1" s="6" t="str">
        <x:v>Preco_Promocional</x:v>
      </x:c>
      <x:c r="L1" s="6" t="str">
        <x:v>Data_Inicio</x:v>
      </x:c>
      <x:c r="M1" s="6" t="str">
        <x:v>Data_Fim</x:v>
      </x:c>
      <x:c r="N1" s="6" t="str">
        <x:v>Mensagem_Destaque</x:v>
      </x:c>
      <x:c r="O1" s="6" t="str">
        <x:v>Observacoes</x:v>
      </x:c>
      <x:c r="P1" s="6" t="str">
        <x:v>Responsavel</x:v>
      </x:c>
    </x:row>
    <x:row r="2">
      <x:c r="A2" s="12" t="str">
        <x:v>PROM-0001</x:v>
      </x:c>
      <x:c r="B2" s="12" t="str">
        <x:v>Exemplo</x:v>
      </x:c>
      <x:c r="C2" s="12" t="str">
        <x:v>Neonatos</x:v>
      </x:c>
      <x:c r="D2" s="12" t="str">
        <x:v>Leite</x:v>
      </x:c>
      <x:c r="E2" s="12" t="str">
        <x:v>Produtor</x:v>
      </x:c>
      <x:c r="F2" s="12" t="str">
        <x:v>X0092</x:v>
      </x:c>
      <x:c r="G2" s="12" t="str">
        <x:v>Colostro Bovino em Pó</x:v>
      </x:c>
      <x:c r="H2" s="12" t="str">
        <x:v>Preço promocional por faixa</x:v>
      </x:c>
      <x:c r="I2" s="12" t="n">
        <x:v>5</x:v>
      </x:c>
      <x:c r="J2" s="12" t="n">
        <x:v>15</x:v>
      </x:c>
      <x:c r="K2" s="16"/>
      <x:c r="L2" s="14"/>
      <x:c r="M2" s="14"/>
      <x:c r="N2" s="12" t="str">
        <x:v>Ex.: campanha relâmpago para WhatsApp</x:v>
      </x:c>
      <x:c r="O2" s="12" t="str">
        <x:v>Preencher somente quando houver promoção real.</x:v>
      </x:c>
      <x:c r="P2" s="12" t="str"/>
    </x:row>
    <x:row r="3">
      <x:c r="A3" s="12" t="str">
        <x:v>PROM-0002</x:v>
      </x:c>
      <x:c r="B3" s="12" t="str">
        <x:v>Exemplo</x:v>
      </x:c>
      <x:c r="C3" s="12" t="str">
        <x:v>Neonatos</x:v>
      </x:c>
      <x:c r="D3" s="12" t="str">
        <x:v>Corte</x:v>
      </x:c>
      <x:c r="E3" s="12" t="str">
        <x:v>Clientes especiais (Advantage/Alta CRIA)</x:v>
      </x:c>
      <x:c r="F3" s="12" t="str">
        <x:v>746834</x:v>
      </x:c>
      <x:c r="G3" s="12" t="str">
        <x:v>SOS BEEF</x:v>
      </x:c>
      <x:c r="H3" s="12" t="str">
        <x:v>Preço especial temporário</x:v>
      </x:c>
      <x:c r="I3" s="12" t="n">
        <x:v>8</x:v>
      </x:c>
      <x:c r="J3" s="12" t="n">
        <x:v>32</x:v>
      </x:c>
      <x:c r="K3" s="16"/>
      <x:c r="L3" s="14"/>
      <x:c r="M3" s="14"/>
      <x:c r="N3" s="12" t="str">
        <x:v>Ex.: promoção válida até durar estoque</x:v>
      </x:c>
      <x:c r="O3" s="12" t="str">
        <x:v>Não usar como preço vigente sem publicar/espelhar na Base_Upload.</x:v>
      </x:c>
      <x:c r="P3" s="12" t="str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6"/>
      <x:c r="L4" s="14"/>
      <x:c r="M4" s="14"/>
      <x:c r="N4" s="12"/>
      <x:c r="O4" s="12"/>
      <x:c r="P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6"/>
      <x:c r="L5" s="14"/>
      <x:c r="M5" s="14"/>
      <x:c r="N5" s="12"/>
      <x:c r="O5" s="12"/>
      <x:c r="P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6"/>
      <x:c r="L6" s="14"/>
      <x:c r="M6" s="14"/>
      <x:c r="N6" s="12"/>
      <x:c r="O6" s="12"/>
      <x:c r="P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6"/>
      <x:c r="L7" s="14"/>
      <x:c r="M7" s="14"/>
      <x:c r="N7" s="12"/>
      <x:c r="O7" s="12"/>
      <x:c r="P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6"/>
      <x:c r="L8" s="14"/>
      <x:c r="M8" s="14"/>
      <x:c r="N8" s="12"/>
      <x:c r="O8" s="12"/>
      <x:c r="P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6"/>
      <x:c r="L9" s="14"/>
      <x:c r="M9" s="14"/>
      <x:c r="N9" s="12"/>
      <x:c r="O9" s="12"/>
      <x:c r="P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6"/>
      <x:c r="L10" s="14"/>
      <x:c r="M10" s="14"/>
      <x:c r="N10" s="12"/>
      <x:c r="O10" s="12"/>
      <x:c r="P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6"/>
      <x:c r="L11" s="14"/>
      <x:c r="M11" s="14"/>
      <x:c r="N11" s="12"/>
      <x:c r="O11" s="12"/>
      <x:c r="P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6"/>
      <x:c r="L12" s="14"/>
      <x:c r="M12" s="14"/>
      <x:c r="N12" s="12"/>
      <x:c r="O12" s="12"/>
      <x:c r="P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6"/>
      <x:c r="L13" s="14"/>
      <x:c r="M13" s="14"/>
      <x:c r="N13" s="12"/>
      <x:c r="O13" s="12"/>
      <x:c r="P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6"/>
      <x:c r="L14" s="14"/>
      <x:c r="M14" s="14"/>
      <x:c r="N14" s="12"/>
      <x:c r="O14" s="12"/>
      <x:c r="P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6"/>
      <x:c r="L15" s="14"/>
      <x:c r="M15" s="14"/>
      <x:c r="N15" s="12"/>
      <x:c r="O15" s="12"/>
      <x:c r="P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6"/>
      <x:c r="L16" s="14"/>
      <x:c r="M16" s="14"/>
      <x:c r="N16" s="12"/>
      <x:c r="O16" s="12"/>
      <x:c r="P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6"/>
      <x:c r="L17" s="14"/>
      <x:c r="M17" s="14"/>
      <x:c r="N17" s="12"/>
      <x:c r="O17" s="12"/>
      <x:c r="P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6"/>
      <x:c r="L18" s="14"/>
      <x:c r="M18" s="14"/>
      <x:c r="N18" s="12"/>
      <x:c r="O18" s="12"/>
      <x:c r="P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6"/>
      <x:c r="L19" s="14"/>
      <x:c r="M19" s="14"/>
      <x:c r="N19" s="12"/>
      <x:c r="O19" s="12"/>
      <x:c r="P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6"/>
      <x:c r="L20" s="14"/>
      <x:c r="M20" s="14"/>
      <x:c r="N20" s="12"/>
      <x:c r="O20" s="12"/>
      <x:c r="P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6"/>
      <x:c r="L21" s="14"/>
      <x:c r="M21" s="14"/>
      <x:c r="N21" s="12"/>
      <x:c r="O21" s="12"/>
      <x:c r="P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6"/>
      <x:c r="L22" s="14"/>
      <x:c r="M22" s="14"/>
      <x:c r="N22" s="12"/>
      <x:c r="O22" s="12"/>
      <x:c r="P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6"/>
      <x:c r="L23" s="14"/>
      <x:c r="M23" s="14"/>
      <x:c r="N23" s="12"/>
      <x:c r="O23" s="12"/>
      <x:c r="P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6"/>
      <x:c r="L24" s="14"/>
      <x:c r="M24" s="14"/>
      <x:c r="N24" s="12"/>
      <x:c r="O24" s="12"/>
      <x:c r="P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6"/>
      <x:c r="L25" s="14"/>
      <x:c r="M25" s="14"/>
      <x:c r="N25" s="12"/>
      <x:c r="O25" s="12"/>
      <x:c r="P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6"/>
      <x:c r="L26" s="14"/>
      <x:c r="M26" s="14"/>
      <x:c r="N26" s="12"/>
      <x:c r="O26" s="12"/>
      <x:c r="P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6"/>
      <x:c r="L27" s="14"/>
      <x:c r="M27" s="14"/>
      <x:c r="N27" s="12"/>
      <x:c r="O27" s="12"/>
      <x:c r="P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6"/>
      <x:c r="L28" s="14"/>
      <x:c r="M28" s="14"/>
      <x:c r="N28" s="12"/>
      <x:c r="O28" s="12"/>
      <x:c r="P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6"/>
      <x:c r="L29" s="14"/>
      <x:c r="M29" s="14"/>
      <x:c r="N29" s="12"/>
      <x:c r="O29" s="12"/>
      <x:c r="P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6"/>
      <x:c r="L30" s="14"/>
      <x:c r="M30" s="14"/>
      <x:c r="N30" s="12"/>
      <x:c r="O30" s="12"/>
      <x:c r="P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6"/>
      <x:c r="L31" s="14"/>
      <x:c r="M31" s="14"/>
      <x:c r="N31" s="12"/>
      <x:c r="O31" s="12"/>
      <x:c r="P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6"/>
      <x:c r="L32" s="14"/>
      <x:c r="M32" s="14"/>
      <x:c r="N32" s="12"/>
      <x:c r="O32" s="12"/>
      <x:c r="P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6"/>
      <x:c r="L33" s="14"/>
      <x:c r="M33" s="14"/>
      <x:c r="N33" s="12"/>
      <x:c r="O33" s="12"/>
      <x:c r="P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6"/>
      <x:c r="L34" s="14"/>
      <x:c r="M34" s="14"/>
      <x:c r="N34" s="12"/>
      <x:c r="O34" s="12"/>
      <x:c r="P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6"/>
      <x:c r="L35" s="14"/>
      <x:c r="M35" s="14"/>
      <x:c r="N35" s="12"/>
      <x:c r="O35" s="12"/>
      <x:c r="P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6"/>
      <x:c r="L36" s="14"/>
      <x:c r="M36" s="14"/>
      <x:c r="N36" s="12"/>
      <x:c r="O36" s="12"/>
      <x:c r="P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6"/>
      <x:c r="L37" s="14"/>
      <x:c r="M37" s="14"/>
      <x:c r="N37" s="12"/>
      <x:c r="O37" s="12"/>
      <x:c r="P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6"/>
      <x:c r="L38" s="14"/>
      <x:c r="M38" s="14"/>
      <x:c r="N38" s="12"/>
      <x:c r="O38" s="12"/>
      <x:c r="P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6"/>
      <x:c r="L39" s="14"/>
      <x:c r="M39" s="14"/>
      <x:c r="N39" s="12"/>
      <x:c r="O39" s="12"/>
      <x:c r="P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6"/>
      <x:c r="L40" s="14"/>
      <x:c r="M40" s="14"/>
      <x:c r="N40" s="12"/>
      <x:c r="O40" s="12"/>
      <x:c r="P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6"/>
      <x:c r="L41" s="14"/>
      <x:c r="M41" s="14"/>
      <x:c r="N41" s="12"/>
      <x:c r="O41" s="12"/>
      <x:c r="P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6"/>
      <x:c r="L42" s="14"/>
      <x:c r="M42" s="14"/>
      <x:c r="N42" s="12"/>
      <x:c r="O42" s="12"/>
      <x:c r="P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6"/>
      <x:c r="L43" s="14"/>
      <x:c r="M43" s="14"/>
      <x:c r="N43" s="12"/>
      <x:c r="O43" s="12"/>
      <x:c r="P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6"/>
      <x:c r="L44" s="14"/>
      <x:c r="M44" s="14"/>
      <x:c r="N44" s="12"/>
      <x:c r="O44" s="12"/>
      <x:c r="P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6"/>
      <x:c r="L45" s="14"/>
      <x:c r="M45" s="14"/>
      <x:c r="N45" s="12"/>
      <x:c r="O45" s="12"/>
      <x:c r="P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6"/>
      <x:c r="L46" s="14"/>
      <x:c r="M46" s="14"/>
      <x:c r="N46" s="12"/>
      <x:c r="O46" s="12"/>
      <x:c r="P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6"/>
      <x:c r="L47" s="14"/>
      <x:c r="M47" s="14"/>
      <x:c r="N47" s="12"/>
      <x:c r="O47" s="12"/>
      <x:c r="P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6"/>
      <x:c r="L48" s="14"/>
      <x:c r="M48" s="14"/>
      <x:c r="N48" s="12"/>
      <x:c r="O48" s="12"/>
      <x:c r="P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6"/>
      <x:c r="L49" s="14"/>
      <x:c r="M49" s="14"/>
      <x:c r="N49" s="12"/>
      <x:c r="O49" s="12"/>
      <x:c r="P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6"/>
      <x:c r="L50" s="14"/>
      <x:c r="M50" s="14"/>
      <x:c r="N50" s="12"/>
      <x:c r="O50" s="12"/>
      <x:c r="P50" s="12"/>
    </x:row>
  </x:sheetData>
  <x:dataValidations count="4">
    <x:dataValidation type="list" sqref="B2:B200">
      <x:formula1>"Ativo,Inativo,Exemplo,Revisar"</x:formula1>
    </x:dataValidation>
    <x:dataValidation type="list" sqref="D2:D200">
      <x:formula1>"Leite,Corte,Revenda"</x:formula1>
    </x:dataValidation>
    <x:dataValidation type="list" sqref="E2:E200">
      <x:formula1>"Produtor,Revendedor,Clientes especiais (Advantage/Alta CRIA),Todos"</x:formula1>
    </x:dataValidation>
    <x:dataValidation type="list" sqref="H2:H200">
      <x:formula1>"Preço lista,Preço promocional por faixa,Preço especial temporário,Preço final com IPI"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12de1d529c45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6" hidden="0" customWidth="1"/>
    <x:col min="5" max="5" width="24" hidden="0" customWidth="1"/>
    <x:col min="6" max="6" width="64" hidden="0" customWidth="1"/>
    <x:col min="7" max="7" width="44" hidden="0" customWidth="1"/>
    <x:col min="8" max="8" width="10" hidden="0" customWidth="1"/>
  </x:cols>
  <x:sheetData>
    <x:row r="1" ht="24" customHeight="1">
      <x:c r="A1" s="6" t="str">
        <x:v>Regra_ID</x:v>
      </x:c>
      <x:c r="B1" s="6" t="str">
        <x:v>Pasta</x:v>
      </x:c>
      <x:c r="C1" s="6" t="str">
        <x:v>Subpasta</x:v>
      </x:c>
      <x:c r="D1" s="6" t="str">
        <x:v>Aplica_A</x:v>
      </x:c>
      <x:c r="E1" s="6" t="str">
        <x:v>Regra</x:v>
      </x:c>
      <x:c r="F1" s="6" t="str">
        <x:v>Valor/Detalhe</x:v>
      </x:c>
      <x:c r="G1" s="6" t="str">
        <x:v>Fonte_PDF</x:v>
      </x:c>
      <x:c r="H1" s="6" t="str">
        <x:v>Pagina</x:v>
      </x:c>
    </x:row>
    <x:row r="2">
      <x:c r="A2" s="12" t="str">
        <x:v>REG-001</x:v>
      </x:c>
      <x:c r="B2" s="12" t="str">
        <x:v>Neonatos</x:v>
      </x:c>
      <x:c r="C2" s="12" t="str">
        <x:v>Todas</x:v>
      </x:c>
      <x:c r="D2" s="12" t="str">
        <x:v>Todas as listas</x:v>
      </x:c>
      <x:c r="E2" s="12" t="str">
        <x:v>Validade</x:v>
      </x:c>
      <x:c r="F2" s="12" t="str">
        <x:v>Válido até 05/08/2026 ou enquanto durarem os estoques.</x:v>
      </x:c>
      <x:c r="G2" s="12" t="str">
        <x:v>LP_Neonatos_Leite_07.2026.pdf; LP_Neonatos_Corte_07.2026.pdf; Lista_Revenda_07_2026.pdf</x:v>
      </x:c>
      <x:c r="H2" s="12" t="str">
        <x:v>1</x:v>
      </x:c>
    </x:row>
    <x:row r="3">
      <x:c r="A3" s="12" t="str">
        <x:v>REG-002</x:v>
      </x:c>
      <x:c r="B3" s="12" t="str">
        <x:v>Neonatos</x:v>
      </x:c>
      <x:c r="C3" s="12" t="str">
        <x:v>Todas</x:v>
      </x:c>
      <x:c r="D3" s="12" t="str">
        <x:v>Todas as listas</x:v>
      </x:c>
      <x:c r="E3" s="12" t="str">
        <x:v>Lançamento no sistema</x:v>
      </x:c>
      <x:c r="F3" s="12" t="str">
        <x:v>Valor a ser lançado no sistema Força de Vendas.</x:v>
      </x:c>
      <x:c r="G3" s="12" t="str">
        <x:v>LP_Neonatos_Leite_07.2026.pdf; LP_Neonatos_Corte_07.2026.pdf</x:v>
      </x:c>
      <x:c r="H3" s="12" t="str">
        <x:v>1</x:v>
      </x:c>
    </x:row>
    <x:row r="4">
      <x:c r="A4" s="12" t="str">
        <x:v>REG-003</x:v>
      </x:c>
      <x:c r="B4" s="12" t="str">
        <x:v>Neonatos</x:v>
      </x:c>
      <x:c r="C4" s="12" t="str">
        <x:v>Todas</x:v>
      </x:c>
      <x:c r="D4" s="12" t="str">
        <x:v>Todas as listas</x:v>
      </x:c>
      <x:c r="E4" s="12" t="str">
        <x:v>Parcelamento</x:v>
      </x:c>
      <x:c r="F4" s="12" t="str">
        <x:v>Parcelamento em até 4x, com parcelas mínimas de R$ 500,00.</x:v>
      </x:c>
      <x:c r="G4" s="12" t="str">
        <x:v>LP_Neonatos_Leite_07.2026.pdf; LP_Neonatos_Corte_07.2026.pdf; Lista_Revenda_07_2026.pdf</x:v>
      </x:c>
      <x:c r="H4" s="12" t="str">
        <x:v>1</x:v>
      </x:c>
    </x:row>
    <x:row r="5">
      <x:c r="A5" s="12" t="str">
        <x:v>REG-004</x:v>
      </x:c>
      <x:c r="B5" s="12" t="str">
        <x:v>Neonatos</x:v>
      </x:c>
      <x:c r="C5" s="12" t="str">
        <x:v>Corte</x:v>
      </x:c>
      <x:c r="D5" s="12" t="str">
        <x:v>SOS BEEF</x:v>
      </x:c>
      <x:c r="E5" s="12" t="str">
        <x:v>Múltiplo de venda</x:v>
      </x:c>
      <x:c r="F5" s="12" t="str">
        <x:v>Produto comercializado somente em múltiplos de 8 unidades.</x:v>
      </x:c>
      <x:c r="G5" s="12" t="str">
        <x:v>LP_Neonatos_Corte_07.2026.pdf</x:v>
      </x:c>
      <x:c r="H5" s="12" t="str">
        <x:v>1</x:v>
      </x:c>
    </x:row>
    <x:row r="6">
      <x:c r="A6" s="12" t="str">
        <x:v>REG-005</x:v>
      </x:c>
      <x:c r="B6" s="12" t="str">
        <x:v>Neonatos</x:v>
      </x:c>
      <x:c r="C6" s="12" t="str">
        <x:v>Leite</x:v>
      </x:c>
      <x:c r="D6" s="12" t="str">
        <x:v>Acessórios</x:v>
      </x:c>
      <x:c r="E6" s="12" t="str">
        <x:v>Preço único</x:v>
      </x:c>
      <x:c r="F6" s="12" t="str">
        <x:v>Tabela única, sem diferenciação de preços para clientes especiais.</x:v>
      </x:c>
      <x:c r="G6" s="12" t="str">
        <x:v>LP_Neonatos_Leite_07.2026.pdf</x:v>
      </x:c>
      <x:c r="H6" s="12" t="str">
        <x:v>2</x:v>
      </x:c>
    </x:row>
    <x:row r="7">
      <x:c r="A7" s="12" t="str">
        <x:v>REG-006</x:v>
      </x:c>
      <x:c r="B7" s="12" t="str">
        <x:v>Neonatos</x:v>
      </x:c>
      <x:c r="C7" s="12" t="str">
        <x:v>Leite</x:v>
      </x:c>
      <x:c r="D7" s="12" t="str">
        <x:v>Acessórios</x:v>
      </x:c>
      <x:c r="E7" s="12" t="str">
        <x:v>Revenda</x:v>
      </x:c>
      <x:c r="F7" s="12" t="str">
        <x:v>Itens não disponibilizados para revenda.</x:v>
      </x:c>
      <x:c r="G7" s="12" t="str">
        <x:v>LP_Neonatos_Leite_07.2026.pdf</x:v>
      </x:c>
      <x:c r="H7" s="12" t="str">
        <x:v>2</x:v>
      </x:c>
    </x:row>
    <x:row r="8">
      <x:c r="A8" s="12" t="str">
        <x:v>REG-007</x:v>
      </x:c>
      <x:c r="B8" s="12" t="str">
        <x:v>Neonatos</x:v>
      </x:c>
      <x:c r="C8" s="12" t="str">
        <x:v>Revenda</x:v>
      </x:c>
      <x:c r="D8" s="12" t="str">
        <x:v>Colostro Bovino em Pó</x:v>
      </x:c>
      <x:c r="E8" s="12" t="str">
        <x:v>Pedido mínimo</x:v>
      </x:c>
      <x:c r="F8" s="12" t="str">
        <x:v>Compra mínima de 50 unidades. Preço por unidade.</x:v>
      </x:c>
      <x:c r="G8" s="12" t="str">
        <x:v>Lista_Revenda_07_2026.pdf</x:v>
      </x:c>
      <x:c r="H8" s="12" t="str">
        <x:v>1</x:v>
      </x:c>
    </x:row>
    <x:row r="9">
      <x:c r="A9" s="12" t="str">
        <x:v>REG-008</x:v>
      </x:c>
      <x:c r="B9" s="12" t="str">
        <x:v>Neonatos</x:v>
      </x:c>
      <x:c r="C9" s="12" t="str">
        <x:v>Revenda</x:v>
      </x:c>
      <x:c r="D9" s="12" t="str">
        <x:v>AltaLYTE</x:v>
      </x:c>
      <x:c r="E9" s="12" t="str">
        <x:v>Pedido mínimo</x:v>
      </x:c>
      <x:c r="F9" s="12" t="str">
        <x:v>Compra mínima de 20 unidades. Preço por unidade.</x:v>
      </x:c>
      <x:c r="G9" s="12" t="str">
        <x:v>Lista_Revenda_07_2026.pdf</x:v>
      </x:c>
      <x:c r="H9" s="12" t="str">
        <x:v>1</x:v>
      </x:c>
    </x:row>
    <x:row r="10">
      <x:c r="A10" s="12" t="str">
        <x:v>REG-009</x:v>
      </x:c>
      <x:c r="B10" s="12" t="str">
        <x:v>Neonatos</x:v>
      </x:c>
      <x:c r="C10" s="12" t="str">
        <x:v>Revenda</x:v>
      </x:c>
      <x:c r="D10" s="12" t="str">
        <x:v>SOS BEEF</x:v>
      </x:c>
      <x:c r="E10" s="12" t="str">
        <x:v>Pedido mínimo</x:v>
      </x:c>
      <x:c r="F10" s="12" t="str">
        <x:v>Compra mínima de 16 unidades. Preço por unidade.</x:v>
      </x:c>
      <x:c r="G10" s="12" t="str">
        <x:v>Lista_Revenda_07_2026.pdf</x:v>
      </x:c>
      <x:c r="H10" s="12" t="str">
        <x:v>1</x:v>
      </x:c>
    </x:row>
    <x:row r="11">
      <x:c r="A11" s="12" t="str">
        <x:v>REG-010</x:v>
      </x:c>
      <x:c r="B11" s="12" t="str">
        <x:v>Neonatos</x:v>
      </x:c>
      <x:c r="C11" s="12" t="str">
        <x:v>Leite/Corte</x:v>
      </x:c>
      <x:c r="D11" s="12" t="str">
        <x:v>Clientes especiais</x:v>
      </x:c>
      <x:c r="E11" s="12" t="str">
        <x:v>Perfil comercial</x:v>
      </x:c>
      <x:c r="F11" s="12" t="str">
        <x:v>Preços especiais cadastrados para clientes Advantage/Alta CRIA conforme páginas específicas.</x:v>
      </x:c>
      <x:c r="G11" s="12" t="str">
        <x:v>LP_Neonatos_Leite_07.2026.pdf; LP_Neonatos_Corte_07.2026.pdf</x:v>
      </x:c>
      <x:c r="H11" s="12" t="str">
        <x:v>2-3</x:v>
      </x:c>
    </x:row>
  </x:sheetData>
  <x:pageMargins left="0.7" right="0.7" top="0.75" bottom="0.75" header="0.3" footer="0.3"/>
  <x:tableParts count="1">
    <x:tablePart xmlns:r="http://schemas.openxmlformats.org/officeDocument/2006/relationships" r:id="R8dd2b99e21b44ac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4" customHeight="1">
      <x:c r="A1" s="24" t="str">
        <x:v>Status</x:v>
      </x:c>
      <x:c r="B1" s="24" t="str">
        <x:v>Pasta</x:v>
      </x:c>
      <x:c r="C1" s="24" t="str">
        <x:v>Subpasta</x:v>
      </x:c>
      <x:c r="D1" s="24" t="str">
        <x:v>Perfil_Cliente</x:v>
      </x:c>
      <x:c r="E1" s="24" t="str">
        <x:v>Canal</x:v>
      </x:c>
      <x:c r="F1" s="24" t="str">
        <x:v>Tipo_Item</x:v>
      </x:c>
      <x:c r="G1" s="24" t="str">
        <x:v>Unidade_Venda</x:v>
      </x:c>
      <x:c r="H1" s="24" t="str">
        <x:v>Tipo_Preco_Afetado</x:v>
      </x:c>
    </x:row>
    <x:row r="2">
      <x:c r="A2" s="12" t="str">
        <x:v>Ativo</x:v>
      </x:c>
      <x:c r="B2" s="12" t="str">
        <x:v>Neonatos</x:v>
      </x:c>
      <x:c r="C2" s="12" t="str">
        <x:v>Leite</x:v>
      </x:c>
      <x:c r="D2" s="12" t="str">
        <x:v>Produtor</x:v>
      </x:c>
      <x:c r="E2" s="12" t="str">
        <x:v>Venda regular</x:v>
      </x:c>
      <x:c r="F2" s="12" t="str">
        <x:v>Produto</x:v>
      </x:c>
      <x:c r="G2" s="12" t="str">
        <x:v>pacote</x:v>
      </x:c>
      <x:c r="H2" s="12" t="str">
        <x:v>Preço lista</x:v>
      </x:c>
    </x:row>
    <x:row r="3">
      <x:c r="A3" s="12" t="str">
        <x:v>Inativo</x:v>
      </x:c>
      <x:c r="B3" s="12"/>
      <x:c r="C3" s="12" t="str">
        <x:v>Corte</x:v>
      </x:c>
      <x:c r="D3" s="12" t="str">
        <x:v>Revendedor</x:v>
      </x:c>
      <x:c r="E3" s="12" t="str">
        <x:v>Revenda</x:v>
      </x:c>
      <x:c r="F3" s="12" t="str">
        <x:v>Acessório</x:v>
      </x:c>
      <x:c r="G3" s="12" t="str">
        <x:v>unidade</x:v>
      </x:c>
      <x:c r="H3" s="12" t="str">
        <x:v>Preço promocional por faixa</x:v>
      </x:c>
    </x:row>
    <x:row r="4">
      <x:c r="A4" s="12" t="str">
        <x:v>Revisar</x:v>
      </x:c>
      <x:c r="B4" s="12"/>
      <x:c r="C4" s="12" t="str">
        <x:v>Revenda</x:v>
      </x:c>
      <x:c r="D4" s="12" t="str">
        <x:v>Clientes especiais (Advantage/Alta CRIA)</x:v>
      </x:c>
      <x:c r="E4" s="12" t="str">
        <x:v>Clientes especiais</x:v>
      </x:c>
      <x:c r="F4" s="12" t="str">
        <x:v>Serviço</x:v>
      </x:c>
      <x:c r="G4" s="12" t="str">
        <x:v>balde</x:v>
      </x:c>
      <x:c r="H4" s="12" t="str">
        <x:v>Preço especial temporário</x:v>
      </x:c>
    </x:row>
    <x:row r="5">
      <x:c r="A5" s="12" t="str">
        <x:v>Excluir na próxima versão</x:v>
      </x:c>
      <x:c r="B5" s="12"/>
      <x:c r="C5" s="12"/>
      <x:c r="D5" s="12" t="str">
        <x:v>Todos</x:v>
      </x:c>
      <x:c r="E5" s="12" t="str">
        <x:v>Acessórios</x:v>
      </x:c>
      <x:c r="F5" s="12" t="str">
        <x:v>Kit</x:v>
      </x:c>
      <x:c r="G5" s="12" t="str">
        <x:v>caixa</x:v>
      </x:c>
      <x:c r="H5" s="12" t="str">
        <x:v>Preço final com IPI</x:v>
      </x:c>
    </x:row>
    <x:row r="6">
      <x:c r="A6" s="12"/>
      <x:c r="B6" s="12"/>
      <x:c r="C6" s="12"/>
      <x:c r="D6" s="12"/>
      <x:c r="E6" s="12"/>
      <x:c r="F6" s="12"/>
      <x:c r="G6" s="12" t="str">
        <x:v>tratamento</x:v>
      </x:c>
      <x:c r="H6" s="12"/>
    </x:row>
    <x:row r="7">
      <x:c r="A7" s="12"/>
      <x:c r="B7" s="12"/>
      <x:c r="C7" s="12"/>
      <x:c r="D7" s="12"/>
      <x:c r="E7" s="12"/>
      <x:c r="F7" s="12"/>
      <x:c r="G7" s="12" t="str">
        <x:v>mês</x:v>
      </x:c>
      <x:c r="H7" s="12"/>
    </x:row>
    <x:row r="8">
      <x:c r="A8" s="12"/>
      <x:c r="B8" s="12"/>
      <x:c r="C8" s="12"/>
      <x:c r="D8" s="12"/>
      <x:c r="E8" s="12"/>
      <x:c r="F8" s="12"/>
      <x:c r="G8" s="12" t="str">
        <x:v>dose</x:v>
      </x:c>
      <x:c r="H8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35" t="str">
        <x:v>Painel de Conferência — Base Neonatos</x:v>
      </x:c>
      <x:c r="B1" s="35" t="str"/>
      <x:c r="C1" s="35" t="str"/>
      <x:c r="D1" s="35" t="str"/>
      <x:c r="E1" s="35" t="str"/>
      <x:c r="F1" s="35" t="str"/>
    </x:row>
    <x:row r="3" ht="24" customHeight="1">
      <x:c r="A3" s="6" t="str">
        <x:v>Indicador</x:v>
      </x:c>
      <x:c r="B3" s="6" t="str">
        <x:v>Valor</x:v>
      </x:c>
    </x:row>
    <x:row r="4">
      <x:c r="A4" s="12" t="str">
        <x:v>Linhas ativas</x:v>
      </x:c>
      <x:c r="B4" s="12" t="n">
        <x:f>COUNTIF(Base_Upload!B:B,"Ativo")</x:f>
        <x:v>46</x:v>
      </x:c>
    </x:row>
    <x:row r="5">
      <x:c r="A5" s="12" t="str">
        <x:v>Linhas para revisar</x:v>
      </x:c>
      <x:c r="B5" s="12" t="n">
        <x:f>COUNTIF(Base_Upload!B:B,"Revisar")</x:f>
        <x:v>0</x:v>
      </x:c>
    </x:row>
    <x:row r="6">
      <x:c r="A6" s="12" t="str">
        <x:v>Divergências de preço final informado</x:v>
      </x:c>
      <x:c r="B6" s="12" t="n">
        <x:v>0</x:v>
      </x:c>
    </x:row>
    <x:row r="7">
      <x:c r="A7" s="12" t="str">
        <x:v>Produtos/acessórios cadastrados</x:v>
      </x:c>
      <x:c r="B7" s="12" t="n">
        <x:f>COUNTA(Produtos_Cadastro!A:A)-1</x:f>
        <x:v>13</x:v>
      </x:c>
    </x:row>
    <x:row r="8">
      <x:c r="A8" s="12" t="str">
        <x:v>Data de validade da lista</x:v>
      </x:c>
      <x:c r="B8" s="14" t="n">
        <x:f>MAX(Base_Upload!E:E)</x:f>
        <x:v>46239</x:v>
      </x:c>
    </x:row>
    <x:row r="11" ht="24" customHeight="1">
      <x:c r="A11" s="6" t="str">
        <x:v>Subpasta</x:v>
      </x:c>
      <x:c r="B11" s="6" t="str">
        <x:v>Produtor</x:v>
      </x:c>
      <x:c r="C11" s="6" t="str">
        <x:v>Clientes especiais</x:v>
      </x:c>
      <x:c r="D11" s="6" t="str">
        <x:v>Revendedor</x:v>
      </x:c>
      <x:c r="E11" s="6" t="str">
        <x:v>Todos/Acessórios</x:v>
      </x:c>
      <x:c r="F11" s="6" t="str">
        <x:v>Total</x:v>
      </x:c>
    </x:row>
    <x:row r="12">
      <x:c r="A12" t="str">
        <x:v>Leite</x:v>
      </x:c>
      <x:c r="B12" t="n">
        <x:f>COUNTIFS(Base_Upload!$G:$G,$A12,Base_Upload!$H:$H,B$11,Base_Upload!$B:$B,"Ativo")</x:f>
        <x:v>9</x:v>
      </x:c>
      <x:c r="C12" t="n">
        <x:f>COUNTIFS(Base_Upload!$G:$G,$A12,Base_Upload!$H:$H,C$11,Base_Upload!$B:$B,"Ativo")</x:f>
        <x:v>0</x:v>
      </x:c>
      <x:c r="D12" t="n">
        <x:f>COUNTIFS(Base_Upload!$G:$G,$A12,Base_Upload!$H:$H,D$11,Base_Upload!$B:$B,"Ativo")</x:f>
        <x:v>0</x:v>
      </x:c>
      <x:c r="E12" t="n">
        <x:f>COUNTIFS(Base_Upload!$G:$G,$A12,Base_Upload!$H:$H,"Todos",Base_Upload!$B:$B,"Ativo")</x:f>
        <x:v>7</x:v>
      </x:c>
      <x:c r="F12" t="n">
        <x:f>SUM(B12:E12)</x:f>
        <x:v>16</x:v>
      </x:c>
    </x:row>
    <x:row r="13">
      <x:c r="A13" t="str">
        <x:v>Corte</x:v>
      </x:c>
      <x:c r="B13" t="n">
        <x:f>COUNTIFS(Base_Upload!$G:$G,$A13,Base_Upload!$H:$H,B$11,Base_Upload!$B:$B,"Ativo")</x:f>
        <x:v>6</x:v>
      </x:c>
      <x:c r="C13" t="n">
        <x:f>COUNTIFS(Base_Upload!$G:$G,$A13,Base_Upload!$H:$H,C$11,Base_Upload!$B:$B,"Ativo")</x:f>
        <x:v>0</x:v>
      </x:c>
      <x:c r="D13" t="n">
        <x:f>COUNTIFS(Base_Upload!$G:$G,$A13,Base_Upload!$H:$H,D$11,Base_Upload!$B:$B,"Ativo")</x:f>
        <x:v>0</x:v>
      </x:c>
      <x:c r="E13" t="n">
        <x:f>COUNTIFS(Base_Upload!$G:$G,$A13,Base_Upload!$H:$H,"Todos",Base_Upload!$B:$B,"Ativo")</x:f>
        <x:v>5</x:v>
      </x:c>
      <x:c r="F13" t="n">
        <x:f>SUM(B13:E13)</x:f>
        <x:v>11</x:v>
      </x:c>
    </x:row>
    <x:row r="14">
      <x:c r="A14" t="str">
        <x:v>Revenda</x:v>
      </x:c>
      <x:c r="B14" t="n">
        <x:f>COUNTIFS(Base_Upload!$G:$G,$A14,Base_Upload!$H:$H,B$11,Base_Upload!$B:$B,"Ativo")</x:f>
        <x:v>0</x:v>
      </x:c>
      <x:c r="C14" t="n">
        <x:f>COUNTIFS(Base_Upload!$G:$G,$A14,Base_Upload!$H:$H,C$11,Base_Upload!$B:$B,"Ativo")</x:f>
        <x:v>0</x:v>
      </x:c>
      <x:c r="D14" t="n">
        <x:f>COUNTIFS(Base_Upload!$G:$G,$A14,Base_Upload!$H:$H,D$11,Base_Upload!$B:$B,"Ativo")</x:f>
        <x:v>9</x:v>
      </x:c>
      <x:c r="E14" t="n">
        <x:f>COUNTIFS(Base_Upload!$G:$G,$A14,Base_Upload!$H:$H,"Todos",Base_Upload!$B:$B,"Ativo")</x:f>
        <x:v>0</x:v>
      </x:c>
      <x:c r="F14" t="n">
        <x:f>SUM(B14:E14)</x:f>
        <x:v>9</x:v>
      </x:c>
    </x:row>
    <x:row r="15">
      <x:c r="A15" t="str">
        <x:v>Total</x:v>
      </x:c>
      <x:c r="B15" t="n">
        <x:f>SUM(B12:B14)</x:f>
        <x:v>15</x:v>
      </x:c>
      <x:c r="C15" t="n">
        <x:f>SUM(C12:C14)</x:f>
        <x:v>0</x:v>
      </x:c>
      <x:c r="D15" t="n">
        <x:f>SUM(D12:D14)</x:f>
        <x:v>9</x:v>
      </x:c>
      <x:c r="E15" t="n">
        <x:f>SUM(E12:E14)</x:f>
        <x:v>12</x:v>
      </x:c>
      <x:c r="F15" t="n">
        <x:f>SUM(F12:F14)</x:f>
        <x:v>36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35" t="str">
        <x:v>Base de Lista de Preços — Neonatos</x:v>
      </x:c>
      <x:c r="B1" s="35" t="str"/>
      <x:c r="C1" s="35" t="str"/>
      <x:c r="D1" s="35" t="str"/>
      <x:c r="E1" s="35" t="str"/>
      <x:c r="F1" s="35" t="str"/>
      <x:c r="G1" s="35" t="str"/>
      <x:c r="H1" s="35" t="str"/>
    </x:row>
    <x:row r="3" ht="24" customHeight="1">
      <x:c r="A3" s="6" t="str">
        <x:v>Objetivo</x:v>
      </x:c>
      <x:c r="B3" s="6" t="str">
        <x:v>Como usar</x:v>
      </x:c>
      <x:c r="C3" s="6" t="str">
        <x:v>O que editar</x:v>
      </x:c>
      <x:c r="D3" s="6" t="str">
        <x:v>O que não editar</x:v>
      </x:c>
      <x:c r="E3" s="6" t="str">
        <x:v>Publicação</x:v>
      </x:c>
      <x:c r="F3" s="6" t="str">
        <x:v>Validações</x:v>
      </x:c>
      <x:c r="G3" s="6" t="str">
        <x:v>Fontes usadas</x:v>
      </x:c>
      <x:c r="H3" s="6" t="str">
        <x:v>Observação</x:v>
      </x:c>
    </x:row>
    <x:row r="4">
      <x:c r="A4" s="12" t="str">
        <x:v>Servir como base única para a gerente atualizar preços, faixas, condições e promoções da pasta Neonatos.</x:v>
      </x:c>
      <x:c r="B4" s="12" t="str">
        <x:v>Atualizar a aba Base_Upload. Cada linha representa uma regra de preço por produto, perfil de cliente e faixa de quantidade.</x:v>
      </x:c>
      <x:c r="C4" s="12" t="str">
        <x:v>Editar Status, validade, preço, faixa, perfil, observações e responsável. Inserir novas linhas no final da tabela quando surgir novo item/faixa.</x:v>
      </x:c>
      <x:c r="D4" s="12" t="str">
        <x:v>Não apagar cabeçalhos nem alterar nomes das colunas. As colunas de cálculo e mensagem são automáticas.</x:v>
      </x:c>
      <x:c r="E4" s="12" t="str">
        <x:v>Depois de conferida, esta aba pode ser usada como arquivo de upload para o sistema/lista online.</x:v>
      </x:c>
      <x:c r="F4" s="12" t="str">
        <x:v>Usar Painel_Conferencia antes de publicar: revisar validade, divergências, itens em Revisar e contagem por subpasta.</x:v>
      </x:c>
      <x:c r="G4" s="12" t="str">
        <x:v>LP_Neonatos_Leite_07.2026.pdf; LP_Neonatos_Corte_07.2026.pdf; Lista_Revenda_07_2026.pdf.</x:v>
      </x:c>
      <x:c r="H4" s="12" t="str">
        <x:v>Não inclui AltaID, MyDC, Cal24 ou Reprodução/Transição porque são outras pastas comerciais.</x:v>
      </x:c>
    </x:row>
    <x:row r="6" ht="24" customHeight="1">
      <x:c r="A6" s="24" t="str">
        <x:v>Passo</x:v>
      </x:c>
      <x:c r="B6" s="24" t="str">
        <x:v>Ação</x:v>
      </x:c>
      <x:c r="C6" s="24" t="str">
        <x:v>Responsável</x:v>
      </x:c>
      <x:c r="D6" s="24" t="str">
        <x:v>Quando</x:v>
      </x:c>
      <x:c r="E6" s="24" t="str">
        <x:v>Aba</x:v>
      </x:c>
      <x:c r="F6" s="24" t="str">
        <x:v>Campo crítico</x:v>
      </x:c>
      <x:c r="G6" s="24" t="str">
        <x:v>Risco se errado</x:v>
      </x:c>
      <x:c r="H6" s="24" t="str">
        <x:v>Conferência</x:v>
      </x:c>
    </x:row>
    <x:row r="7">
      <x:c r="A7" s="12" t="n">
        <x:v>1</x:v>
      </x:c>
      <x:c r="B7" s="12" t="str">
        <x:v>Abrir Base_Upload e filtrar a pasta/subpasta que será atualizada.</x:v>
      </x:c>
      <x:c r="C7" s="12" t="str">
        <x:v>Gerente</x:v>
      </x:c>
      <x:c r="D7" s="12" t="str">
        <x:v>Sempre que mudar lista/preço</x:v>
      </x:c>
      <x:c r="E7" s="12" t="str">
        <x:v>Base_Upload</x:v>
      </x:c>
      <x:c r="F7" s="12" t="str">
        <x:v>Subpasta / Perfil_Cliente</x:v>
      </x:c>
      <x:c r="G7" s="12" t="str">
        <x:v>Preço pode aparecer para público errado.</x:v>
      </x:c>
      <x:c r="H7" s="12" t="str">
        <x:v>Conferir filtros e perfil.</x:v>
      </x:c>
    </x:row>
    <x:row r="8">
      <x:c r="A8" s="12" t="n">
        <x:v>2</x:v>
      </x:c>
      <x:c r="B8" s="12" t="str">
        <x:v>Atualizar validade e preços por faixa.</x:v>
      </x:c>
      <x:c r="C8" s="12" t="str">
        <x:v>Gerente</x:v>
      </x:c>
      <x:c r="D8" s="12" t="str">
        <x:v>Toda nova lista</x:v>
      </x:c>
      <x:c r="E8" s="12" t="str">
        <x:v>Base_Upload</x:v>
      </x:c>
      <x:c r="F8" s="12" t="str">
        <x:v>Validade_Ate / Preco_Sistema</x:v>
      </x:c>
      <x:c r="G8" s="12" t="str">
        <x:v>Lista vencida ou preço antigo no campo.</x:v>
      </x:c>
      <x:c r="H8" s="12" t="str">
        <x:v>Painel_Conferencia.</x:v>
      </x:c>
    </x:row>
    <x:row r="9">
      <x:c r="A9" s="12" t="n">
        <x:v>3</x:v>
      </x:c>
      <x:c r="B9" s="12" t="str">
        <x:v>Cadastrar promoções temporárias, quando houver.</x:v>
      </x:c>
      <x:c r="C9" s="12" t="str">
        <x:v>Gerente</x:v>
      </x:c>
      <x:c r="D9" s="12" t="str">
        <x:v>Campanhas comerciais</x:v>
      </x:c>
      <x:c r="E9" s="12" t="str">
        <x:v>Promocoes e Base_Upload</x:v>
      </x:c>
      <x:c r="F9" s="12" t="str">
        <x:v>Data_Fim / Preco_Promocional</x:v>
      </x:c>
      <x:c r="G9" s="12" t="str">
        <x:v>Promoção sem prazo ou não publicada.</x:v>
      </x:c>
      <x:c r="H9" s="12" t="str">
        <x:v>Revisar linhas Ativas.</x:v>
      </x:c>
    </x:row>
    <x:row r="10">
      <x:c r="A10" s="12" t="n">
        <x:v>4</x:v>
      </x:c>
      <x:c r="B10" s="12" t="str">
        <x:v>Conferir regras comerciais e observações públicas.</x:v>
      </x:c>
      <x:c r="C10" s="12" t="str">
        <x:v>Gerente/Comercial</x:v>
      </x:c>
      <x:c r="D10" s="12" t="str">
        <x:v>Antes de publicar</x:v>
      </x:c>
      <x:c r="E10" s="12" t="str">
        <x:v>Regras_Comerciais / Base_Upload</x:v>
      </x:c>
      <x:c r="F10" s="12" t="str">
        <x:v>Observacoes_Publicas</x:v>
      </x:c>
      <x:c r="G10" s="12" t="str">
        <x:v>Vendedor pode enviar condição incompleta.</x:v>
      </x:c>
      <x:c r="H10" s="12" t="str">
        <x:v>Copiar mensagem de WhatsApp e validar.</x:v>
      </x:c>
    </x:row>
    <x:row r="11">
      <x:c r="A11" s="12" t="n">
        <x:v>5</x:v>
      </x:c>
      <x:c r="B11" s="12" t="str">
        <x:v>Publicar/upload da base para lista online.</x:v>
      </x:c>
      <x:c r="C11" s="12" t="str">
        <x:v>Admin/Marketing/Comercial</x:v>
      </x:c>
      <x:c r="D11" s="12" t="str">
        <x:v>Após conferência</x:v>
      </x:c>
      <x:c r="E11" s="12" t="str">
        <x:v>Base_Upload</x:v>
      </x:c>
      <x:c r="F11" s="12" t="str">
        <x:v>Status = Ativo</x:v>
      </x:c>
      <x:c r="G11" s="12" t="str">
        <x:v>Itens inativos ou em revisão podem ir ao ar.</x:v>
      </x:c>
      <x:c r="H11" s="12" t="str">
        <x:v>Filtrar Status antes de publicar.</x:v>
      </x:c>
    </x:row>
  </x:sheetData>
  <x:pageMargins left="0.7" right="0.7" top="0.75" bottom="0.75" header="0.3" footer="0.3"/>
</x:worksheet>
</file>